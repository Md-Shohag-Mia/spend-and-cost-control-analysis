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 Analytics\Power Query\Class 9\"/>
    </mc:Choice>
  </mc:AlternateContent>
  <xr:revisionPtr revIDLastSave="0" documentId="13_ncr:1_{75BAE255-13E6-4930-9292-C98B883B6BB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Dim_Vendor" sheetId="3" r:id="rId1"/>
    <sheet name="PO_Fact" sheetId="2" r:id="rId2"/>
    <sheet name="Dim_Item" sheetId="4" r:id="rId3"/>
    <sheet name="Dim_Department" sheetId="5" r:id="rId4"/>
    <sheet name="Dim_Calendar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67" i="6" l="1"/>
  <c r="H367" i="6"/>
  <c r="G367" i="6"/>
  <c r="F367" i="6"/>
  <c r="E367" i="6"/>
  <c r="D367" i="6"/>
  <c r="C367" i="6"/>
  <c r="I366" i="6"/>
  <c r="H366" i="6"/>
  <c r="G366" i="6"/>
  <c r="F366" i="6"/>
  <c r="E366" i="6"/>
  <c r="D366" i="6"/>
  <c r="C366" i="6"/>
  <c r="I365" i="6"/>
  <c r="H365" i="6"/>
  <c r="G365" i="6"/>
  <c r="F365" i="6"/>
  <c r="E365" i="6"/>
  <c r="D365" i="6"/>
  <c r="C365" i="6"/>
  <c r="I364" i="6"/>
  <c r="H364" i="6"/>
  <c r="G364" i="6"/>
  <c r="F364" i="6"/>
  <c r="E364" i="6"/>
  <c r="D364" i="6"/>
  <c r="C364" i="6"/>
  <c r="I363" i="6"/>
  <c r="H363" i="6"/>
  <c r="G363" i="6"/>
  <c r="F363" i="6"/>
  <c r="E363" i="6"/>
  <c r="D363" i="6"/>
  <c r="C363" i="6"/>
  <c r="I362" i="6"/>
  <c r="H362" i="6"/>
  <c r="G362" i="6"/>
  <c r="F362" i="6"/>
  <c r="E362" i="6"/>
  <c r="D362" i="6"/>
  <c r="C362" i="6"/>
  <c r="I361" i="6"/>
  <c r="H361" i="6"/>
  <c r="G361" i="6"/>
  <c r="F361" i="6"/>
  <c r="E361" i="6"/>
  <c r="D361" i="6"/>
  <c r="C361" i="6"/>
  <c r="I360" i="6"/>
  <c r="H360" i="6"/>
  <c r="G360" i="6"/>
  <c r="F360" i="6"/>
  <c r="E360" i="6"/>
  <c r="D360" i="6"/>
  <c r="C360" i="6"/>
  <c r="I359" i="6"/>
  <c r="H359" i="6"/>
  <c r="G359" i="6"/>
  <c r="F359" i="6"/>
  <c r="E359" i="6"/>
  <c r="D359" i="6"/>
  <c r="C359" i="6"/>
  <c r="I358" i="6"/>
  <c r="H358" i="6"/>
  <c r="G358" i="6"/>
  <c r="F358" i="6"/>
  <c r="E358" i="6"/>
  <c r="D358" i="6"/>
  <c r="C358" i="6"/>
  <c r="I357" i="6"/>
  <c r="H357" i="6"/>
  <c r="G357" i="6"/>
  <c r="F357" i="6"/>
  <c r="E357" i="6"/>
  <c r="D357" i="6"/>
  <c r="C357" i="6"/>
  <c r="I356" i="6"/>
  <c r="H356" i="6"/>
  <c r="G356" i="6"/>
  <c r="F356" i="6"/>
  <c r="E356" i="6"/>
  <c r="D356" i="6"/>
  <c r="C356" i="6"/>
  <c r="I355" i="6"/>
  <c r="H355" i="6"/>
  <c r="G355" i="6"/>
  <c r="F355" i="6"/>
  <c r="E355" i="6"/>
  <c r="D355" i="6"/>
  <c r="C355" i="6"/>
  <c r="I354" i="6"/>
  <c r="H354" i="6"/>
  <c r="G354" i="6"/>
  <c r="F354" i="6"/>
  <c r="E354" i="6"/>
  <c r="D354" i="6"/>
  <c r="C354" i="6"/>
  <c r="I353" i="6"/>
  <c r="H353" i="6"/>
  <c r="G353" i="6"/>
  <c r="F353" i="6"/>
  <c r="E353" i="6"/>
  <c r="D353" i="6"/>
  <c r="C353" i="6"/>
  <c r="I352" i="6"/>
  <c r="H352" i="6"/>
  <c r="G352" i="6"/>
  <c r="F352" i="6"/>
  <c r="E352" i="6"/>
  <c r="D352" i="6"/>
  <c r="C352" i="6"/>
  <c r="I351" i="6"/>
  <c r="H351" i="6"/>
  <c r="G351" i="6"/>
  <c r="F351" i="6"/>
  <c r="E351" i="6"/>
  <c r="D351" i="6"/>
  <c r="C351" i="6"/>
  <c r="I350" i="6"/>
  <c r="H350" i="6"/>
  <c r="G350" i="6"/>
  <c r="F350" i="6"/>
  <c r="E350" i="6"/>
  <c r="D350" i="6"/>
  <c r="C350" i="6"/>
  <c r="I349" i="6"/>
  <c r="H349" i="6"/>
  <c r="G349" i="6"/>
  <c r="F349" i="6"/>
  <c r="E349" i="6"/>
  <c r="D349" i="6"/>
  <c r="C349" i="6"/>
  <c r="I348" i="6"/>
  <c r="H348" i="6"/>
  <c r="G348" i="6"/>
  <c r="F348" i="6"/>
  <c r="E348" i="6"/>
  <c r="D348" i="6"/>
  <c r="C348" i="6"/>
  <c r="I347" i="6"/>
  <c r="H347" i="6"/>
  <c r="G347" i="6"/>
  <c r="F347" i="6"/>
  <c r="E347" i="6"/>
  <c r="D347" i="6"/>
  <c r="C347" i="6"/>
  <c r="I346" i="6"/>
  <c r="H346" i="6"/>
  <c r="G346" i="6"/>
  <c r="F346" i="6"/>
  <c r="E346" i="6"/>
  <c r="D346" i="6"/>
  <c r="C346" i="6"/>
  <c r="I345" i="6"/>
  <c r="H345" i="6"/>
  <c r="G345" i="6"/>
  <c r="F345" i="6"/>
  <c r="E345" i="6"/>
  <c r="D345" i="6"/>
  <c r="C345" i="6"/>
  <c r="I344" i="6"/>
  <c r="H344" i="6"/>
  <c r="G344" i="6"/>
  <c r="F344" i="6"/>
  <c r="E344" i="6"/>
  <c r="D344" i="6"/>
  <c r="C344" i="6"/>
  <c r="I343" i="6"/>
  <c r="H343" i="6"/>
  <c r="G343" i="6"/>
  <c r="F343" i="6"/>
  <c r="E343" i="6"/>
  <c r="D343" i="6"/>
  <c r="C343" i="6"/>
  <c r="I342" i="6"/>
  <c r="H342" i="6"/>
  <c r="G342" i="6"/>
  <c r="F342" i="6"/>
  <c r="E342" i="6"/>
  <c r="D342" i="6"/>
  <c r="C342" i="6"/>
  <c r="I341" i="6"/>
  <c r="H341" i="6"/>
  <c r="G341" i="6"/>
  <c r="F341" i="6"/>
  <c r="E341" i="6"/>
  <c r="D341" i="6"/>
  <c r="C341" i="6"/>
  <c r="I340" i="6"/>
  <c r="H340" i="6"/>
  <c r="G340" i="6"/>
  <c r="F340" i="6"/>
  <c r="E340" i="6"/>
  <c r="D340" i="6"/>
  <c r="C340" i="6"/>
  <c r="I339" i="6"/>
  <c r="H339" i="6"/>
  <c r="G339" i="6"/>
  <c r="F339" i="6"/>
  <c r="E339" i="6"/>
  <c r="D339" i="6"/>
  <c r="C339" i="6"/>
  <c r="I338" i="6"/>
  <c r="H338" i="6"/>
  <c r="G338" i="6"/>
  <c r="F338" i="6"/>
  <c r="E338" i="6"/>
  <c r="D338" i="6"/>
  <c r="C338" i="6"/>
  <c r="I337" i="6"/>
  <c r="H337" i="6"/>
  <c r="G337" i="6"/>
  <c r="F337" i="6"/>
  <c r="E337" i="6"/>
  <c r="D337" i="6"/>
  <c r="C337" i="6"/>
  <c r="I336" i="6"/>
  <c r="H336" i="6"/>
  <c r="G336" i="6"/>
  <c r="F336" i="6"/>
  <c r="E336" i="6"/>
  <c r="D336" i="6"/>
  <c r="C336" i="6"/>
  <c r="I335" i="6"/>
  <c r="H335" i="6"/>
  <c r="G335" i="6"/>
  <c r="F335" i="6"/>
  <c r="E335" i="6"/>
  <c r="D335" i="6"/>
  <c r="C335" i="6"/>
  <c r="I334" i="6"/>
  <c r="H334" i="6"/>
  <c r="G334" i="6"/>
  <c r="F334" i="6"/>
  <c r="E334" i="6"/>
  <c r="D334" i="6"/>
  <c r="C334" i="6"/>
  <c r="I333" i="6"/>
  <c r="H333" i="6"/>
  <c r="G333" i="6"/>
  <c r="F333" i="6"/>
  <c r="E333" i="6"/>
  <c r="D333" i="6"/>
  <c r="C333" i="6"/>
  <c r="I332" i="6"/>
  <c r="H332" i="6"/>
  <c r="G332" i="6"/>
  <c r="F332" i="6"/>
  <c r="E332" i="6"/>
  <c r="D332" i="6"/>
  <c r="C332" i="6"/>
  <c r="I331" i="6"/>
  <c r="H331" i="6"/>
  <c r="G331" i="6"/>
  <c r="F331" i="6"/>
  <c r="E331" i="6"/>
  <c r="D331" i="6"/>
  <c r="C331" i="6"/>
  <c r="I330" i="6"/>
  <c r="H330" i="6"/>
  <c r="G330" i="6"/>
  <c r="F330" i="6"/>
  <c r="E330" i="6"/>
  <c r="D330" i="6"/>
  <c r="C330" i="6"/>
  <c r="I329" i="6"/>
  <c r="H329" i="6"/>
  <c r="G329" i="6"/>
  <c r="F329" i="6"/>
  <c r="E329" i="6"/>
  <c r="D329" i="6"/>
  <c r="C329" i="6"/>
  <c r="I328" i="6"/>
  <c r="H328" i="6"/>
  <c r="G328" i="6"/>
  <c r="F328" i="6"/>
  <c r="E328" i="6"/>
  <c r="D328" i="6"/>
  <c r="C328" i="6"/>
  <c r="I327" i="6"/>
  <c r="H327" i="6"/>
  <c r="G327" i="6"/>
  <c r="F327" i="6"/>
  <c r="E327" i="6"/>
  <c r="D327" i="6"/>
  <c r="C327" i="6"/>
  <c r="I326" i="6"/>
  <c r="H326" i="6"/>
  <c r="G326" i="6"/>
  <c r="F326" i="6"/>
  <c r="E326" i="6"/>
  <c r="D326" i="6"/>
  <c r="C326" i="6"/>
  <c r="I325" i="6"/>
  <c r="H325" i="6"/>
  <c r="G325" i="6"/>
  <c r="F325" i="6"/>
  <c r="E325" i="6"/>
  <c r="D325" i="6"/>
  <c r="C325" i="6"/>
  <c r="I324" i="6"/>
  <c r="H324" i="6"/>
  <c r="G324" i="6"/>
  <c r="F324" i="6"/>
  <c r="E324" i="6"/>
  <c r="D324" i="6"/>
  <c r="C324" i="6"/>
  <c r="I323" i="6"/>
  <c r="H323" i="6"/>
  <c r="G323" i="6"/>
  <c r="F323" i="6"/>
  <c r="E323" i="6"/>
  <c r="D323" i="6"/>
  <c r="C323" i="6"/>
  <c r="I322" i="6"/>
  <c r="H322" i="6"/>
  <c r="G322" i="6"/>
  <c r="F322" i="6"/>
  <c r="E322" i="6"/>
  <c r="D322" i="6"/>
  <c r="C322" i="6"/>
  <c r="I321" i="6"/>
  <c r="H321" i="6"/>
  <c r="G321" i="6"/>
  <c r="F321" i="6"/>
  <c r="E321" i="6"/>
  <c r="D321" i="6"/>
  <c r="C321" i="6"/>
  <c r="I320" i="6"/>
  <c r="H320" i="6"/>
  <c r="G320" i="6"/>
  <c r="F320" i="6"/>
  <c r="E320" i="6"/>
  <c r="D320" i="6"/>
  <c r="C320" i="6"/>
  <c r="I319" i="6"/>
  <c r="H319" i="6"/>
  <c r="G319" i="6"/>
  <c r="F319" i="6"/>
  <c r="E319" i="6"/>
  <c r="D319" i="6"/>
  <c r="C319" i="6"/>
  <c r="I318" i="6"/>
  <c r="H318" i="6"/>
  <c r="G318" i="6"/>
  <c r="F318" i="6"/>
  <c r="E318" i="6"/>
  <c r="D318" i="6"/>
  <c r="C318" i="6"/>
  <c r="I317" i="6"/>
  <c r="H317" i="6"/>
  <c r="G317" i="6"/>
  <c r="F317" i="6"/>
  <c r="E317" i="6"/>
  <c r="D317" i="6"/>
  <c r="C317" i="6"/>
  <c r="I316" i="6"/>
  <c r="H316" i="6"/>
  <c r="G316" i="6"/>
  <c r="F316" i="6"/>
  <c r="E316" i="6"/>
  <c r="D316" i="6"/>
  <c r="C316" i="6"/>
  <c r="I315" i="6"/>
  <c r="H315" i="6"/>
  <c r="G315" i="6"/>
  <c r="F315" i="6"/>
  <c r="E315" i="6"/>
  <c r="D315" i="6"/>
  <c r="C315" i="6"/>
  <c r="I314" i="6"/>
  <c r="H314" i="6"/>
  <c r="G314" i="6"/>
  <c r="F314" i="6"/>
  <c r="E314" i="6"/>
  <c r="D314" i="6"/>
  <c r="C314" i="6"/>
  <c r="I313" i="6"/>
  <c r="H313" i="6"/>
  <c r="G313" i="6"/>
  <c r="F313" i="6"/>
  <c r="E313" i="6"/>
  <c r="D313" i="6"/>
  <c r="C313" i="6"/>
  <c r="I312" i="6"/>
  <c r="H312" i="6"/>
  <c r="G312" i="6"/>
  <c r="F312" i="6"/>
  <c r="E312" i="6"/>
  <c r="D312" i="6"/>
  <c r="C312" i="6"/>
  <c r="I311" i="6"/>
  <c r="H311" i="6"/>
  <c r="G311" i="6"/>
  <c r="F311" i="6"/>
  <c r="E311" i="6"/>
  <c r="D311" i="6"/>
  <c r="C311" i="6"/>
  <c r="I310" i="6"/>
  <c r="H310" i="6"/>
  <c r="G310" i="6"/>
  <c r="F310" i="6"/>
  <c r="E310" i="6"/>
  <c r="D310" i="6"/>
  <c r="C310" i="6"/>
  <c r="I309" i="6"/>
  <c r="H309" i="6"/>
  <c r="G309" i="6"/>
  <c r="F309" i="6"/>
  <c r="E309" i="6"/>
  <c r="D309" i="6"/>
  <c r="C309" i="6"/>
  <c r="I308" i="6"/>
  <c r="H308" i="6"/>
  <c r="G308" i="6"/>
  <c r="F308" i="6"/>
  <c r="E308" i="6"/>
  <c r="D308" i="6"/>
  <c r="C308" i="6"/>
  <c r="I307" i="6"/>
  <c r="H307" i="6"/>
  <c r="G307" i="6"/>
  <c r="F307" i="6"/>
  <c r="E307" i="6"/>
  <c r="D307" i="6"/>
  <c r="C307" i="6"/>
  <c r="I306" i="6"/>
  <c r="H306" i="6"/>
  <c r="G306" i="6"/>
  <c r="F306" i="6"/>
  <c r="E306" i="6"/>
  <c r="D306" i="6"/>
  <c r="C306" i="6"/>
  <c r="I305" i="6"/>
  <c r="H305" i="6"/>
  <c r="G305" i="6"/>
  <c r="F305" i="6"/>
  <c r="E305" i="6"/>
  <c r="D305" i="6"/>
  <c r="C305" i="6"/>
  <c r="I304" i="6"/>
  <c r="H304" i="6"/>
  <c r="G304" i="6"/>
  <c r="F304" i="6"/>
  <c r="E304" i="6"/>
  <c r="D304" i="6"/>
  <c r="C304" i="6"/>
  <c r="I303" i="6"/>
  <c r="H303" i="6"/>
  <c r="G303" i="6"/>
  <c r="F303" i="6"/>
  <c r="E303" i="6"/>
  <c r="D303" i="6"/>
  <c r="C303" i="6"/>
  <c r="I302" i="6"/>
  <c r="H302" i="6"/>
  <c r="G302" i="6"/>
  <c r="F302" i="6"/>
  <c r="E302" i="6"/>
  <c r="D302" i="6"/>
  <c r="C302" i="6"/>
  <c r="I301" i="6"/>
  <c r="H301" i="6"/>
  <c r="G301" i="6"/>
  <c r="F301" i="6"/>
  <c r="E301" i="6"/>
  <c r="D301" i="6"/>
  <c r="C301" i="6"/>
  <c r="I300" i="6"/>
  <c r="H300" i="6"/>
  <c r="G300" i="6"/>
  <c r="F300" i="6"/>
  <c r="E300" i="6"/>
  <c r="D300" i="6"/>
  <c r="C300" i="6"/>
  <c r="I299" i="6"/>
  <c r="H299" i="6"/>
  <c r="G299" i="6"/>
  <c r="F299" i="6"/>
  <c r="E299" i="6"/>
  <c r="D299" i="6"/>
  <c r="C299" i="6"/>
  <c r="I298" i="6"/>
  <c r="H298" i="6"/>
  <c r="G298" i="6"/>
  <c r="F298" i="6"/>
  <c r="E298" i="6"/>
  <c r="D298" i="6"/>
  <c r="C298" i="6"/>
  <c r="I297" i="6"/>
  <c r="H297" i="6"/>
  <c r="G297" i="6"/>
  <c r="F297" i="6"/>
  <c r="E297" i="6"/>
  <c r="D297" i="6"/>
  <c r="C297" i="6"/>
  <c r="I296" i="6"/>
  <c r="H296" i="6"/>
  <c r="G296" i="6"/>
  <c r="F296" i="6"/>
  <c r="E296" i="6"/>
  <c r="D296" i="6"/>
  <c r="C296" i="6"/>
  <c r="I295" i="6"/>
  <c r="H295" i="6"/>
  <c r="G295" i="6"/>
  <c r="F295" i="6"/>
  <c r="E295" i="6"/>
  <c r="D295" i="6"/>
  <c r="C295" i="6"/>
  <c r="I294" i="6"/>
  <c r="H294" i="6"/>
  <c r="G294" i="6"/>
  <c r="F294" i="6"/>
  <c r="E294" i="6"/>
  <c r="D294" i="6"/>
  <c r="C294" i="6"/>
  <c r="I293" i="6"/>
  <c r="H293" i="6"/>
  <c r="G293" i="6"/>
  <c r="F293" i="6"/>
  <c r="E293" i="6"/>
  <c r="D293" i="6"/>
  <c r="C293" i="6"/>
  <c r="I292" i="6"/>
  <c r="H292" i="6"/>
  <c r="G292" i="6"/>
  <c r="F292" i="6"/>
  <c r="E292" i="6"/>
  <c r="D292" i="6"/>
  <c r="C292" i="6"/>
  <c r="I291" i="6"/>
  <c r="H291" i="6"/>
  <c r="G291" i="6"/>
  <c r="F291" i="6"/>
  <c r="E291" i="6"/>
  <c r="D291" i="6"/>
  <c r="C291" i="6"/>
  <c r="I290" i="6"/>
  <c r="H290" i="6"/>
  <c r="G290" i="6"/>
  <c r="F290" i="6"/>
  <c r="E290" i="6"/>
  <c r="D290" i="6"/>
  <c r="C290" i="6"/>
  <c r="I289" i="6"/>
  <c r="H289" i="6"/>
  <c r="G289" i="6"/>
  <c r="F289" i="6"/>
  <c r="E289" i="6"/>
  <c r="D289" i="6"/>
  <c r="C289" i="6"/>
  <c r="I288" i="6"/>
  <c r="H288" i="6"/>
  <c r="G288" i="6"/>
  <c r="F288" i="6"/>
  <c r="E288" i="6"/>
  <c r="D288" i="6"/>
  <c r="C288" i="6"/>
  <c r="I287" i="6"/>
  <c r="H287" i="6"/>
  <c r="G287" i="6"/>
  <c r="F287" i="6"/>
  <c r="E287" i="6"/>
  <c r="D287" i="6"/>
  <c r="C287" i="6"/>
  <c r="I286" i="6"/>
  <c r="H286" i="6"/>
  <c r="G286" i="6"/>
  <c r="F286" i="6"/>
  <c r="E286" i="6"/>
  <c r="D286" i="6"/>
  <c r="C286" i="6"/>
  <c r="I285" i="6"/>
  <c r="H285" i="6"/>
  <c r="G285" i="6"/>
  <c r="F285" i="6"/>
  <c r="E285" i="6"/>
  <c r="D285" i="6"/>
  <c r="C285" i="6"/>
  <c r="I284" i="6"/>
  <c r="H284" i="6"/>
  <c r="G284" i="6"/>
  <c r="F284" i="6"/>
  <c r="E284" i="6"/>
  <c r="D284" i="6"/>
  <c r="C284" i="6"/>
  <c r="I283" i="6"/>
  <c r="H283" i="6"/>
  <c r="G283" i="6"/>
  <c r="F283" i="6"/>
  <c r="E283" i="6"/>
  <c r="D283" i="6"/>
  <c r="C283" i="6"/>
  <c r="I282" i="6"/>
  <c r="H282" i="6"/>
  <c r="G282" i="6"/>
  <c r="F282" i="6"/>
  <c r="E282" i="6"/>
  <c r="D282" i="6"/>
  <c r="C282" i="6"/>
  <c r="I281" i="6"/>
  <c r="H281" i="6"/>
  <c r="G281" i="6"/>
  <c r="F281" i="6"/>
  <c r="E281" i="6"/>
  <c r="D281" i="6"/>
  <c r="C281" i="6"/>
  <c r="I280" i="6"/>
  <c r="H280" i="6"/>
  <c r="G280" i="6"/>
  <c r="F280" i="6"/>
  <c r="E280" i="6"/>
  <c r="D280" i="6"/>
  <c r="C280" i="6"/>
  <c r="I279" i="6"/>
  <c r="H279" i="6"/>
  <c r="G279" i="6"/>
  <c r="F279" i="6"/>
  <c r="E279" i="6"/>
  <c r="D279" i="6"/>
  <c r="C279" i="6"/>
  <c r="I278" i="6"/>
  <c r="H278" i="6"/>
  <c r="G278" i="6"/>
  <c r="F278" i="6"/>
  <c r="E278" i="6"/>
  <c r="D278" i="6"/>
  <c r="C278" i="6"/>
  <c r="I277" i="6"/>
  <c r="H277" i="6"/>
  <c r="G277" i="6"/>
  <c r="F277" i="6"/>
  <c r="E277" i="6"/>
  <c r="D277" i="6"/>
  <c r="C277" i="6"/>
  <c r="I276" i="6"/>
  <c r="H276" i="6"/>
  <c r="G276" i="6"/>
  <c r="F276" i="6"/>
  <c r="E276" i="6"/>
  <c r="D276" i="6"/>
  <c r="C276" i="6"/>
  <c r="I275" i="6"/>
  <c r="H275" i="6"/>
  <c r="G275" i="6"/>
  <c r="F275" i="6"/>
  <c r="E275" i="6"/>
  <c r="D275" i="6"/>
  <c r="C275" i="6"/>
  <c r="I274" i="6"/>
  <c r="H274" i="6"/>
  <c r="G274" i="6"/>
  <c r="F274" i="6"/>
  <c r="E274" i="6"/>
  <c r="D274" i="6"/>
  <c r="C274" i="6"/>
  <c r="I273" i="6"/>
  <c r="H273" i="6"/>
  <c r="G273" i="6"/>
  <c r="F273" i="6"/>
  <c r="E273" i="6"/>
  <c r="D273" i="6"/>
  <c r="C273" i="6"/>
  <c r="I272" i="6"/>
  <c r="H272" i="6"/>
  <c r="G272" i="6"/>
  <c r="F272" i="6"/>
  <c r="E272" i="6"/>
  <c r="D272" i="6"/>
  <c r="C272" i="6"/>
  <c r="I271" i="6"/>
  <c r="H271" i="6"/>
  <c r="G271" i="6"/>
  <c r="F271" i="6"/>
  <c r="E271" i="6"/>
  <c r="D271" i="6"/>
  <c r="C271" i="6"/>
  <c r="I270" i="6"/>
  <c r="H270" i="6"/>
  <c r="G270" i="6"/>
  <c r="F270" i="6"/>
  <c r="E270" i="6"/>
  <c r="D270" i="6"/>
  <c r="C270" i="6"/>
  <c r="I269" i="6"/>
  <c r="H269" i="6"/>
  <c r="G269" i="6"/>
  <c r="F269" i="6"/>
  <c r="E269" i="6"/>
  <c r="D269" i="6"/>
  <c r="C269" i="6"/>
  <c r="I268" i="6"/>
  <c r="H268" i="6"/>
  <c r="G268" i="6"/>
  <c r="F268" i="6"/>
  <c r="E268" i="6"/>
  <c r="D268" i="6"/>
  <c r="C268" i="6"/>
  <c r="I267" i="6"/>
  <c r="H267" i="6"/>
  <c r="G267" i="6"/>
  <c r="F267" i="6"/>
  <c r="E267" i="6"/>
  <c r="D267" i="6"/>
  <c r="C267" i="6"/>
  <c r="I266" i="6"/>
  <c r="H266" i="6"/>
  <c r="G266" i="6"/>
  <c r="F266" i="6"/>
  <c r="E266" i="6"/>
  <c r="D266" i="6"/>
  <c r="C266" i="6"/>
  <c r="I265" i="6"/>
  <c r="H265" i="6"/>
  <c r="G265" i="6"/>
  <c r="F265" i="6"/>
  <c r="E265" i="6"/>
  <c r="D265" i="6"/>
  <c r="C265" i="6"/>
  <c r="I264" i="6"/>
  <c r="H264" i="6"/>
  <c r="G264" i="6"/>
  <c r="F264" i="6"/>
  <c r="E264" i="6"/>
  <c r="D264" i="6"/>
  <c r="C264" i="6"/>
  <c r="I263" i="6"/>
  <c r="H263" i="6"/>
  <c r="G263" i="6"/>
  <c r="F263" i="6"/>
  <c r="E263" i="6"/>
  <c r="D263" i="6"/>
  <c r="C263" i="6"/>
  <c r="I262" i="6"/>
  <c r="H262" i="6"/>
  <c r="G262" i="6"/>
  <c r="F262" i="6"/>
  <c r="E262" i="6"/>
  <c r="D262" i="6"/>
  <c r="C262" i="6"/>
  <c r="I261" i="6"/>
  <c r="H261" i="6"/>
  <c r="G261" i="6"/>
  <c r="F261" i="6"/>
  <c r="E261" i="6"/>
  <c r="D261" i="6"/>
  <c r="C261" i="6"/>
  <c r="I260" i="6"/>
  <c r="H260" i="6"/>
  <c r="G260" i="6"/>
  <c r="F260" i="6"/>
  <c r="E260" i="6"/>
  <c r="D260" i="6"/>
  <c r="C260" i="6"/>
  <c r="I259" i="6"/>
  <c r="H259" i="6"/>
  <c r="G259" i="6"/>
  <c r="F259" i="6"/>
  <c r="E259" i="6"/>
  <c r="D259" i="6"/>
  <c r="C259" i="6"/>
  <c r="I258" i="6"/>
  <c r="H258" i="6"/>
  <c r="G258" i="6"/>
  <c r="F258" i="6"/>
  <c r="E258" i="6"/>
  <c r="D258" i="6"/>
  <c r="C258" i="6"/>
  <c r="I257" i="6"/>
  <c r="H257" i="6"/>
  <c r="G257" i="6"/>
  <c r="F257" i="6"/>
  <c r="E257" i="6"/>
  <c r="D257" i="6"/>
  <c r="C257" i="6"/>
  <c r="I256" i="6"/>
  <c r="H256" i="6"/>
  <c r="G256" i="6"/>
  <c r="F256" i="6"/>
  <c r="E256" i="6"/>
  <c r="D256" i="6"/>
  <c r="C256" i="6"/>
  <c r="I255" i="6"/>
  <c r="H255" i="6"/>
  <c r="G255" i="6"/>
  <c r="F255" i="6"/>
  <c r="E255" i="6"/>
  <c r="D255" i="6"/>
  <c r="C255" i="6"/>
  <c r="I254" i="6"/>
  <c r="H254" i="6"/>
  <c r="G254" i="6"/>
  <c r="F254" i="6"/>
  <c r="E254" i="6"/>
  <c r="D254" i="6"/>
  <c r="C254" i="6"/>
  <c r="I253" i="6"/>
  <c r="H253" i="6"/>
  <c r="G253" i="6"/>
  <c r="F253" i="6"/>
  <c r="E253" i="6"/>
  <c r="D253" i="6"/>
  <c r="C253" i="6"/>
  <c r="I252" i="6"/>
  <c r="H252" i="6"/>
  <c r="G252" i="6"/>
  <c r="F252" i="6"/>
  <c r="E252" i="6"/>
  <c r="D252" i="6"/>
  <c r="C252" i="6"/>
  <c r="I251" i="6"/>
  <c r="H251" i="6"/>
  <c r="G251" i="6"/>
  <c r="F251" i="6"/>
  <c r="E251" i="6"/>
  <c r="D251" i="6"/>
  <c r="C251" i="6"/>
  <c r="I250" i="6"/>
  <c r="H250" i="6"/>
  <c r="G250" i="6"/>
  <c r="F250" i="6"/>
  <c r="E250" i="6"/>
  <c r="D250" i="6"/>
  <c r="C250" i="6"/>
  <c r="I249" i="6"/>
  <c r="H249" i="6"/>
  <c r="G249" i="6"/>
  <c r="F249" i="6"/>
  <c r="E249" i="6"/>
  <c r="D249" i="6"/>
  <c r="C249" i="6"/>
  <c r="I248" i="6"/>
  <c r="H248" i="6"/>
  <c r="G248" i="6"/>
  <c r="F248" i="6"/>
  <c r="E248" i="6"/>
  <c r="D248" i="6"/>
  <c r="C248" i="6"/>
  <c r="I247" i="6"/>
  <c r="H247" i="6"/>
  <c r="G247" i="6"/>
  <c r="F247" i="6"/>
  <c r="E247" i="6"/>
  <c r="D247" i="6"/>
  <c r="C247" i="6"/>
  <c r="I246" i="6"/>
  <c r="H246" i="6"/>
  <c r="G246" i="6"/>
  <c r="F246" i="6"/>
  <c r="E246" i="6"/>
  <c r="D246" i="6"/>
  <c r="C246" i="6"/>
  <c r="I245" i="6"/>
  <c r="H245" i="6"/>
  <c r="G245" i="6"/>
  <c r="F245" i="6"/>
  <c r="E245" i="6"/>
  <c r="D245" i="6"/>
  <c r="C245" i="6"/>
  <c r="I244" i="6"/>
  <c r="H244" i="6"/>
  <c r="G244" i="6"/>
  <c r="F244" i="6"/>
  <c r="E244" i="6"/>
  <c r="D244" i="6"/>
  <c r="C244" i="6"/>
  <c r="I243" i="6"/>
  <c r="H243" i="6"/>
  <c r="G243" i="6"/>
  <c r="F243" i="6"/>
  <c r="E243" i="6"/>
  <c r="D243" i="6"/>
  <c r="C243" i="6"/>
  <c r="I242" i="6"/>
  <c r="H242" i="6"/>
  <c r="G242" i="6"/>
  <c r="F242" i="6"/>
  <c r="E242" i="6"/>
  <c r="D242" i="6"/>
  <c r="C242" i="6"/>
  <c r="I241" i="6"/>
  <c r="H241" i="6"/>
  <c r="G241" i="6"/>
  <c r="F241" i="6"/>
  <c r="E241" i="6"/>
  <c r="D241" i="6"/>
  <c r="C241" i="6"/>
  <c r="I240" i="6"/>
  <c r="H240" i="6"/>
  <c r="G240" i="6"/>
  <c r="F240" i="6"/>
  <c r="E240" i="6"/>
  <c r="D240" i="6"/>
  <c r="C240" i="6"/>
  <c r="I239" i="6"/>
  <c r="H239" i="6"/>
  <c r="G239" i="6"/>
  <c r="F239" i="6"/>
  <c r="E239" i="6"/>
  <c r="D239" i="6"/>
  <c r="C239" i="6"/>
  <c r="I238" i="6"/>
  <c r="H238" i="6"/>
  <c r="G238" i="6"/>
  <c r="F238" i="6"/>
  <c r="E238" i="6"/>
  <c r="D238" i="6"/>
  <c r="C238" i="6"/>
  <c r="I237" i="6"/>
  <c r="H237" i="6"/>
  <c r="G237" i="6"/>
  <c r="F237" i="6"/>
  <c r="E237" i="6"/>
  <c r="D237" i="6"/>
  <c r="C237" i="6"/>
  <c r="I236" i="6"/>
  <c r="H236" i="6"/>
  <c r="G236" i="6"/>
  <c r="F236" i="6"/>
  <c r="E236" i="6"/>
  <c r="D236" i="6"/>
  <c r="C236" i="6"/>
  <c r="I235" i="6"/>
  <c r="H235" i="6"/>
  <c r="G235" i="6"/>
  <c r="F235" i="6"/>
  <c r="E235" i="6"/>
  <c r="D235" i="6"/>
  <c r="C235" i="6"/>
  <c r="I234" i="6"/>
  <c r="H234" i="6"/>
  <c r="G234" i="6"/>
  <c r="F234" i="6"/>
  <c r="E234" i="6"/>
  <c r="D234" i="6"/>
  <c r="C234" i="6"/>
  <c r="I233" i="6"/>
  <c r="H233" i="6"/>
  <c r="G233" i="6"/>
  <c r="F233" i="6"/>
  <c r="E233" i="6"/>
  <c r="D233" i="6"/>
  <c r="C233" i="6"/>
  <c r="I232" i="6"/>
  <c r="H232" i="6"/>
  <c r="G232" i="6"/>
  <c r="F232" i="6"/>
  <c r="E232" i="6"/>
  <c r="D232" i="6"/>
  <c r="C232" i="6"/>
  <c r="I231" i="6"/>
  <c r="H231" i="6"/>
  <c r="G231" i="6"/>
  <c r="F231" i="6"/>
  <c r="E231" i="6"/>
  <c r="D231" i="6"/>
  <c r="C231" i="6"/>
  <c r="I230" i="6"/>
  <c r="H230" i="6"/>
  <c r="G230" i="6"/>
  <c r="F230" i="6"/>
  <c r="E230" i="6"/>
  <c r="D230" i="6"/>
  <c r="C230" i="6"/>
  <c r="I229" i="6"/>
  <c r="H229" i="6"/>
  <c r="G229" i="6"/>
  <c r="F229" i="6"/>
  <c r="E229" i="6"/>
  <c r="D229" i="6"/>
  <c r="C229" i="6"/>
  <c r="I228" i="6"/>
  <c r="H228" i="6"/>
  <c r="G228" i="6"/>
  <c r="F228" i="6"/>
  <c r="E228" i="6"/>
  <c r="D228" i="6"/>
  <c r="C228" i="6"/>
  <c r="I227" i="6"/>
  <c r="H227" i="6"/>
  <c r="G227" i="6"/>
  <c r="F227" i="6"/>
  <c r="E227" i="6"/>
  <c r="D227" i="6"/>
  <c r="C227" i="6"/>
  <c r="I226" i="6"/>
  <c r="H226" i="6"/>
  <c r="G226" i="6"/>
  <c r="F226" i="6"/>
  <c r="E226" i="6"/>
  <c r="D226" i="6"/>
  <c r="C226" i="6"/>
  <c r="I225" i="6"/>
  <c r="H225" i="6"/>
  <c r="G225" i="6"/>
  <c r="F225" i="6"/>
  <c r="E225" i="6"/>
  <c r="D225" i="6"/>
  <c r="C225" i="6"/>
  <c r="I224" i="6"/>
  <c r="H224" i="6"/>
  <c r="G224" i="6"/>
  <c r="F224" i="6"/>
  <c r="E224" i="6"/>
  <c r="D224" i="6"/>
  <c r="C224" i="6"/>
  <c r="I223" i="6"/>
  <c r="H223" i="6"/>
  <c r="G223" i="6"/>
  <c r="F223" i="6"/>
  <c r="E223" i="6"/>
  <c r="D223" i="6"/>
  <c r="C223" i="6"/>
  <c r="I222" i="6"/>
  <c r="H222" i="6"/>
  <c r="G222" i="6"/>
  <c r="F222" i="6"/>
  <c r="E222" i="6"/>
  <c r="D222" i="6"/>
  <c r="C222" i="6"/>
  <c r="I221" i="6"/>
  <c r="H221" i="6"/>
  <c r="G221" i="6"/>
  <c r="F221" i="6"/>
  <c r="E221" i="6"/>
  <c r="D221" i="6"/>
  <c r="C221" i="6"/>
  <c r="I220" i="6"/>
  <c r="H220" i="6"/>
  <c r="G220" i="6"/>
  <c r="F220" i="6"/>
  <c r="E220" i="6"/>
  <c r="D220" i="6"/>
  <c r="C220" i="6"/>
  <c r="I219" i="6"/>
  <c r="H219" i="6"/>
  <c r="G219" i="6"/>
  <c r="F219" i="6"/>
  <c r="E219" i="6"/>
  <c r="D219" i="6"/>
  <c r="C219" i="6"/>
  <c r="I218" i="6"/>
  <c r="H218" i="6"/>
  <c r="G218" i="6"/>
  <c r="F218" i="6"/>
  <c r="E218" i="6"/>
  <c r="D218" i="6"/>
  <c r="C218" i="6"/>
  <c r="I217" i="6"/>
  <c r="H217" i="6"/>
  <c r="G217" i="6"/>
  <c r="F217" i="6"/>
  <c r="E217" i="6"/>
  <c r="D217" i="6"/>
  <c r="C217" i="6"/>
  <c r="I216" i="6"/>
  <c r="H216" i="6"/>
  <c r="G216" i="6"/>
  <c r="F216" i="6"/>
  <c r="E216" i="6"/>
  <c r="D216" i="6"/>
  <c r="C216" i="6"/>
  <c r="I215" i="6"/>
  <c r="H215" i="6"/>
  <c r="G215" i="6"/>
  <c r="F215" i="6"/>
  <c r="E215" i="6"/>
  <c r="D215" i="6"/>
  <c r="C215" i="6"/>
  <c r="I214" i="6"/>
  <c r="H214" i="6"/>
  <c r="G214" i="6"/>
  <c r="F214" i="6"/>
  <c r="E214" i="6"/>
  <c r="D214" i="6"/>
  <c r="C214" i="6"/>
  <c r="I213" i="6"/>
  <c r="H213" i="6"/>
  <c r="G213" i="6"/>
  <c r="F213" i="6"/>
  <c r="E213" i="6"/>
  <c r="D213" i="6"/>
  <c r="C213" i="6"/>
  <c r="I212" i="6"/>
  <c r="H212" i="6"/>
  <c r="G212" i="6"/>
  <c r="F212" i="6"/>
  <c r="E212" i="6"/>
  <c r="D212" i="6"/>
  <c r="C212" i="6"/>
  <c r="I211" i="6"/>
  <c r="H211" i="6"/>
  <c r="G211" i="6"/>
  <c r="F211" i="6"/>
  <c r="E211" i="6"/>
  <c r="D211" i="6"/>
  <c r="C211" i="6"/>
  <c r="I210" i="6"/>
  <c r="H210" i="6"/>
  <c r="G210" i="6"/>
  <c r="F210" i="6"/>
  <c r="E210" i="6"/>
  <c r="D210" i="6"/>
  <c r="C210" i="6"/>
  <c r="I209" i="6"/>
  <c r="H209" i="6"/>
  <c r="G209" i="6"/>
  <c r="F209" i="6"/>
  <c r="E209" i="6"/>
  <c r="D209" i="6"/>
  <c r="C209" i="6"/>
  <c r="I208" i="6"/>
  <c r="H208" i="6"/>
  <c r="G208" i="6"/>
  <c r="F208" i="6"/>
  <c r="E208" i="6"/>
  <c r="D208" i="6"/>
  <c r="C208" i="6"/>
  <c r="I207" i="6"/>
  <c r="H207" i="6"/>
  <c r="G207" i="6"/>
  <c r="F207" i="6"/>
  <c r="E207" i="6"/>
  <c r="D207" i="6"/>
  <c r="C207" i="6"/>
  <c r="I206" i="6"/>
  <c r="H206" i="6"/>
  <c r="G206" i="6"/>
  <c r="F206" i="6"/>
  <c r="E206" i="6"/>
  <c r="D206" i="6"/>
  <c r="C206" i="6"/>
  <c r="I205" i="6"/>
  <c r="H205" i="6"/>
  <c r="G205" i="6"/>
  <c r="F205" i="6"/>
  <c r="E205" i="6"/>
  <c r="D205" i="6"/>
  <c r="C205" i="6"/>
  <c r="I204" i="6"/>
  <c r="H204" i="6"/>
  <c r="G204" i="6"/>
  <c r="F204" i="6"/>
  <c r="E204" i="6"/>
  <c r="D204" i="6"/>
  <c r="C204" i="6"/>
  <c r="I203" i="6"/>
  <c r="H203" i="6"/>
  <c r="G203" i="6"/>
  <c r="F203" i="6"/>
  <c r="E203" i="6"/>
  <c r="D203" i="6"/>
  <c r="C203" i="6"/>
  <c r="I202" i="6"/>
  <c r="H202" i="6"/>
  <c r="G202" i="6"/>
  <c r="F202" i="6"/>
  <c r="E202" i="6"/>
  <c r="D202" i="6"/>
  <c r="C202" i="6"/>
  <c r="I201" i="6"/>
  <c r="H201" i="6"/>
  <c r="G201" i="6"/>
  <c r="F201" i="6"/>
  <c r="E201" i="6"/>
  <c r="D201" i="6"/>
  <c r="C201" i="6"/>
  <c r="I200" i="6"/>
  <c r="H200" i="6"/>
  <c r="G200" i="6"/>
  <c r="F200" i="6"/>
  <c r="E200" i="6"/>
  <c r="D200" i="6"/>
  <c r="C200" i="6"/>
  <c r="I199" i="6"/>
  <c r="H199" i="6"/>
  <c r="G199" i="6"/>
  <c r="F199" i="6"/>
  <c r="E199" i="6"/>
  <c r="D199" i="6"/>
  <c r="C199" i="6"/>
  <c r="I198" i="6"/>
  <c r="H198" i="6"/>
  <c r="G198" i="6"/>
  <c r="F198" i="6"/>
  <c r="E198" i="6"/>
  <c r="D198" i="6"/>
  <c r="C198" i="6"/>
  <c r="I197" i="6"/>
  <c r="H197" i="6"/>
  <c r="G197" i="6"/>
  <c r="F197" i="6"/>
  <c r="E197" i="6"/>
  <c r="D197" i="6"/>
  <c r="C197" i="6"/>
  <c r="I196" i="6"/>
  <c r="H196" i="6"/>
  <c r="G196" i="6"/>
  <c r="F196" i="6"/>
  <c r="E196" i="6"/>
  <c r="D196" i="6"/>
  <c r="C196" i="6"/>
  <c r="I195" i="6"/>
  <c r="H195" i="6"/>
  <c r="G195" i="6"/>
  <c r="F195" i="6"/>
  <c r="E195" i="6"/>
  <c r="D195" i="6"/>
  <c r="C195" i="6"/>
  <c r="I194" i="6"/>
  <c r="H194" i="6"/>
  <c r="G194" i="6"/>
  <c r="F194" i="6"/>
  <c r="E194" i="6"/>
  <c r="D194" i="6"/>
  <c r="C194" i="6"/>
  <c r="I193" i="6"/>
  <c r="H193" i="6"/>
  <c r="G193" i="6"/>
  <c r="F193" i="6"/>
  <c r="E193" i="6"/>
  <c r="D193" i="6"/>
  <c r="C193" i="6"/>
  <c r="I192" i="6"/>
  <c r="H192" i="6"/>
  <c r="G192" i="6"/>
  <c r="F192" i="6"/>
  <c r="E192" i="6"/>
  <c r="D192" i="6"/>
  <c r="C192" i="6"/>
  <c r="I191" i="6"/>
  <c r="H191" i="6"/>
  <c r="G191" i="6"/>
  <c r="F191" i="6"/>
  <c r="E191" i="6"/>
  <c r="D191" i="6"/>
  <c r="C191" i="6"/>
  <c r="I190" i="6"/>
  <c r="H190" i="6"/>
  <c r="G190" i="6"/>
  <c r="F190" i="6"/>
  <c r="E190" i="6"/>
  <c r="D190" i="6"/>
  <c r="C190" i="6"/>
  <c r="I189" i="6"/>
  <c r="H189" i="6"/>
  <c r="G189" i="6"/>
  <c r="F189" i="6"/>
  <c r="E189" i="6"/>
  <c r="D189" i="6"/>
  <c r="C189" i="6"/>
  <c r="I188" i="6"/>
  <c r="H188" i="6"/>
  <c r="G188" i="6"/>
  <c r="F188" i="6"/>
  <c r="E188" i="6"/>
  <c r="D188" i="6"/>
  <c r="C188" i="6"/>
  <c r="I187" i="6"/>
  <c r="H187" i="6"/>
  <c r="G187" i="6"/>
  <c r="F187" i="6"/>
  <c r="E187" i="6"/>
  <c r="D187" i="6"/>
  <c r="C187" i="6"/>
  <c r="I186" i="6"/>
  <c r="H186" i="6"/>
  <c r="G186" i="6"/>
  <c r="F186" i="6"/>
  <c r="E186" i="6"/>
  <c r="D186" i="6"/>
  <c r="C186" i="6"/>
  <c r="I185" i="6"/>
  <c r="H185" i="6"/>
  <c r="G185" i="6"/>
  <c r="F185" i="6"/>
  <c r="E185" i="6"/>
  <c r="D185" i="6"/>
  <c r="C185" i="6"/>
  <c r="I184" i="6"/>
  <c r="H184" i="6"/>
  <c r="G184" i="6"/>
  <c r="F184" i="6"/>
  <c r="E184" i="6"/>
  <c r="D184" i="6"/>
  <c r="C184" i="6"/>
  <c r="I183" i="6"/>
  <c r="H183" i="6"/>
  <c r="G183" i="6"/>
  <c r="F183" i="6"/>
  <c r="E183" i="6"/>
  <c r="D183" i="6"/>
  <c r="C183" i="6"/>
  <c r="I182" i="6"/>
  <c r="H182" i="6"/>
  <c r="G182" i="6"/>
  <c r="F182" i="6"/>
  <c r="E182" i="6"/>
  <c r="D182" i="6"/>
  <c r="C182" i="6"/>
  <c r="I181" i="6"/>
  <c r="H181" i="6"/>
  <c r="G181" i="6"/>
  <c r="F181" i="6"/>
  <c r="E181" i="6"/>
  <c r="D181" i="6"/>
  <c r="C181" i="6"/>
  <c r="I180" i="6"/>
  <c r="H180" i="6"/>
  <c r="G180" i="6"/>
  <c r="F180" i="6"/>
  <c r="E180" i="6"/>
  <c r="D180" i="6"/>
  <c r="C180" i="6"/>
  <c r="I179" i="6"/>
  <c r="H179" i="6"/>
  <c r="G179" i="6"/>
  <c r="F179" i="6"/>
  <c r="E179" i="6"/>
  <c r="D179" i="6"/>
  <c r="C179" i="6"/>
  <c r="I178" i="6"/>
  <c r="H178" i="6"/>
  <c r="G178" i="6"/>
  <c r="F178" i="6"/>
  <c r="E178" i="6"/>
  <c r="D178" i="6"/>
  <c r="C178" i="6"/>
  <c r="I177" i="6"/>
  <c r="H177" i="6"/>
  <c r="G177" i="6"/>
  <c r="F177" i="6"/>
  <c r="E177" i="6"/>
  <c r="D177" i="6"/>
  <c r="C177" i="6"/>
  <c r="I176" i="6"/>
  <c r="H176" i="6"/>
  <c r="G176" i="6"/>
  <c r="F176" i="6"/>
  <c r="E176" i="6"/>
  <c r="D176" i="6"/>
  <c r="C176" i="6"/>
  <c r="I175" i="6"/>
  <c r="H175" i="6"/>
  <c r="G175" i="6"/>
  <c r="F175" i="6"/>
  <c r="E175" i="6"/>
  <c r="D175" i="6"/>
  <c r="C175" i="6"/>
  <c r="I174" i="6"/>
  <c r="H174" i="6"/>
  <c r="G174" i="6"/>
  <c r="F174" i="6"/>
  <c r="E174" i="6"/>
  <c r="D174" i="6"/>
  <c r="C174" i="6"/>
  <c r="I173" i="6"/>
  <c r="H173" i="6"/>
  <c r="G173" i="6"/>
  <c r="F173" i="6"/>
  <c r="E173" i="6"/>
  <c r="D173" i="6"/>
  <c r="C173" i="6"/>
  <c r="I172" i="6"/>
  <c r="H172" i="6"/>
  <c r="G172" i="6"/>
  <c r="F172" i="6"/>
  <c r="E172" i="6"/>
  <c r="D172" i="6"/>
  <c r="C172" i="6"/>
  <c r="I171" i="6"/>
  <c r="H171" i="6"/>
  <c r="G171" i="6"/>
  <c r="F171" i="6"/>
  <c r="E171" i="6"/>
  <c r="D171" i="6"/>
  <c r="C171" i="6"/>
  <c r="I170" i="6"/>
  <c r="H170" i="6"/>
  <c r="G170" i="6"/>
  <c r="F170" i="6"/>
  <c r="E170" i="6"/>
  <c r="D170" i="6"/>
  <c r="C170" i="6"/>
  <c r="I169" i="6"/>
  <c r="H169" i="6"/>
  <c r="G169" i="6"/>
  <c r="F169" i="6"/>
  <c r="E169" i="6"/>
  <c r="D169" i="6"/>
  <c r="C169" i="6"/>
  <c r="I168" i="6"/>
  <c r="H168" i="6"/>
  <c r="G168" i="6"/>
  <c r="F168" i="6"/>
  <c r="E168" i="6"/>
  <c r="D168" i="6"/>
  <c r="C168" i="6"/>
  <c r="I167" i="6"/>
  <c r="H167" i="6"/>
  <c r="G167" i="6"/>
  <c r="F167" i="6"/>
  <c r="E167" i="6"/>
  <c r="D167" i="6"/>
  <c r="C167" i="6"/>
  <c r="I166" i="6"/>
  <c r="H166" i="6"/>
  <c r="G166" i="6"/>
  <c r="F166" i="6"/>
  <c r="E166" i="6"/>
  <c r="D166" i="6"/>
  <c r="C166" i="6"/>
  <c r="I165" i="6"/>
  <c r="H165" i="6"/>
  <c r="G165" i="6"/>
  <c r="F165" i="6"/>
  <c r="E165" i="6"/>
  <c r="D165" i="6"/>
  <c r="C165" i="6"/>
  <c r="I164" i="6"/>
  <c r="H164" i="6"/>
  <c r="G164" i="6"/>
  <c r="F164" i="6"/>
  <c r="E164" i="6"/>
  <c r="D164" i="6"/>
  <c r="C164" i="6"/>
  <c r="I163" i="6"/>
  <c r="H163" i="6"/>
  <c r="G163" i="6"/>
  <c r="F163" i="6"/>
  <c r="E163" i="6"/>
  <c r="D163" i="6"/>
  <c r="C163" i="6"/>
  <c r="I162" i="6"/>
  <c r="H162" i="6"/>
  <c r="G162" i="6"/>
  <c r="F162" i="6"/>
  <c r="E162" i="6"/>
  <c r="D162" i="6"/>
  <c r="C162" i="6"/>
  <c r="I161" i="6"/>
  <c r="H161" i="6"/>
  <c r="G161" i="6"/>
  <c r="F161" i="6"/>
  <c r="E161" i="6"/>
  <c r="D161" i="6"/>
  <c r="C161" i="6"/>
  <c r="I160" i="6"/>
  <c r="H160" i="6"/>
  <c r="G160" i="6"/>
  <c r="F160" i="6"/>
  <c r="E160" i="6"/>
  <c r="D160" i="6"/>
  <c r="C160" i="6"/>
  <c r="I159" i="6"/>
  <c r="H159" i="6"/>
  <c r="G159" i="6"/>
  <c r="F159" i="6"/>
  <c r="E159" i="6"/>
  <c r="D159" i="6"/>
  <c r="C159" i="6"/>
  <c r="I158" i="6"/>
  <c r="H158" i="6"/>
  <c r="G158" i="6"/>
  <c r="F158" i="6"/>
  <c r="E158" i="6"/>
  <c r="D158" i="6"/>
  <c r="C158" i="6"/>
  <c r="I157" i="6"/>
  <c r="H157" i="6"/>
  <c r="G157" i="6"/>
  <c r="F157" i="6"/>
  <c r="E157" i="6"/>
  <c r="D157" i="6"/>
  <c r="C157" i="6"/>
  <c r="I156" i="6"/>
  <c r="H156" i="6"/>
  <c r="G156" i="6"/>
  <c r="F156" i="6"/>
  <c r="E156" i="6"/>
  <c r="D156" i="6"/>
  <c r="C156" i="6"/>
  <c r="I155" i="6"/>
  <c r="H155" i="6"/>
  <c r="G155" i="6"/>
  <c r="F155" i="6"/>
  <c r="E155" i="6"/>
  <c r="D155" i="6"/>
  <c r="C155" i="6"/>
  <c r="I154" i="6"/>
  <c r="H154" i="6"/>
  <c r="G154" i="6"/>
  <c r="F154" i="6"/>
  <c r="E154" i="6"/>
  <c r="D154" i="6"/>
  <c r="C154" i="6"/>
  <c r="I153" i="6"/>
  <c r="H153" i="6"/>
  <c r="G153" i="6"/>
  <c r="F153" i="6"/>
  <c r="E153" i="6"/>
  <c r="D153" i="6"/>
  <c r="C153" i="6"/>
  <c r="I152" i="6"/>
  <c r="H152" i="6"/>
  <c r="G152" i="6"/>
  <c r="F152" i="6"/>
  <c r="E152" i="6"/>
  <c r="D152" i="6"/>
  <c r="C152" i="6"/>
  <c r="I151" i="6"/>
  <c r="H151" i="6"/>
  <c r="G151" i="6"/>
  <c r="F151" i="6"/>
  <c r="E151" i="6"/>
  <c r="D151" i="6"/>
  <c r="C151" i="6"/>
  <c r="I150" i="6"/>
  <c r="H150" i="6"/>
  <c r="G150" i="6"/>
  <c r="F150" i="6"/>
  <c r="E150" i="6"/>
  <c r="D150" i="6"/>
  <c r="C150" i="6"/>
  <c r="I149" i="6"/>
  <c r="H149" i="6"/>
  <c r="G149" i="6"/>
  <c r="F149" i="6"/>
  <c r="E149" i="6"/>
  <c r="D149" i="6"/>
  <c r="C149" i="6"/>
  <c r="I148" i="6"/>
  <c r="H148" i="6"/>
  <c r="G148" i="6"/>
  <c r="F148" i="6"/>
  <c r="E148" i="6"/>
  <c r="D148" i="6"/>
  <c r="C148" i="6"/>
  <c r="I147" i="6"/>
  <c r="H147" i="6"/>
  <c r="G147" i="6"/>
  <c r="F147" i="6"/>
  <c r="E147" i="6"/>
  <c r="D147" i="6"/>
  <c r="C147" i="6"/>
  <c r="I146" i="6"/>
  <c r="H146" i="6"/>
  <c r="G146" i="6"/>
  <c r="F146" i="6"/>
  <c r="E146" i="6"/>
  <c r="D146" i="6"/>
  <c r="C146" i="6"/>
  <c r="I145" i="6"/>
  <c r="H145" i="6"/>
  <c r="G145" i="6"/>
  <c r="F145" i="6"/>
  <c r="E145" i="6"/>
  <c r="D145" i="6"/>
  <c r="C145" i="6"/>
  <c r="I144" i="6"/>
  <c r="H144" i="6"/>
  <c r="G144" i="6"/>
  <c r="F144" i="6"/>
  <c r="E144" i="6"/>
  <c r="D144" i="6"/>
  <c r="C144" i="6"/>
  <c r="I143" i="6"/>
  <c r="H143" i="6"/>
  <c r="G143" i="6"/>
  <c r="F143" i="6"/>
  <c r="E143" i="6"/>
  <c r="D143" i="6"/>
  <c r="C143" i="6"/>
  <c r="I142" i="6"/>
  <c r="H142" i="6"/>
  <c r="G142" i="6"/>
  <c r="F142" i="6"/>
  <c r="E142" i="6"/>
  <c r="D142" i="6"/>
  <c r="C142" i="6"/>
  <c r="I141" i="6"/>
  <c r="H141" i="6"/>
  <c r="G141" i="6"/>
  <c r="F141" i="6"/>
  <c r="E141" i="6"/>
  <c r="D141" i="6"/>
  <c r="C141" i="6"/>
  <c r="I140" i="6"/>
  <c r="H140" i="6"/>
  <c r="G140" i="6"/>
  <c r="F140" i="6"/>
  <c r="E140" i="6"/>
  <c r="D140" i="6"/>
  <c r="C140" i="6"/>
  <c r="I139" i="6"/>
  <c r="H139" i="6"/>
  <c r="G139" i="6"/>
  <c r="F139" i="6"/>
  <c r="E139" i="6"/>
  <c r="D139" i="6"/>
  <c r="C139" i="6"/>
  <c r="I138" i="6"/>
  <c r="H138" i="6"/>
  <c r="G138" i="6"/>
  <c r="F138" i="6"/>
  <c r="E138" i="6"/>
  <c r="D138" i="6"/>
  <c r="C138" i="6"/>
  <c r="I137" i="6"/>
  <c r="H137" i="6"/>
  <c r="G137" i="6"/>
  <c r="F137" i="6"/>
  <c r="E137" i="6"/>
  <c r="D137" i="6"/>
  <c r="C137" i="6"/>
  <c r="I136" i="6"/>
  <c r="H136" i="6"/>
  <c r="G136" i="6"/>
  <c r="F136" i="6"/>
  <c r="E136" i="6"/>
  <c r="D136" i="6"/>
  <c r="C136" i="6"/>
  <c r="I135" i="6"/>
  <c r="H135" i="6"/>
  <c r="G135" i="6"/>
  <c r="F135" i="6"/>
  <c r="E135" i="6"/>
  <c r="D135" i="6"/>
  <c r="C135" i="6"/>
  <c r="I134" i="6"/>
  <c r="H134" i="6"/>
  <c r="G134" i="6"/>
  <c r="F134" i="6"/>
  <c r="E134" i="6"/>
  <c r="D134" i="6"/>
  <c r="C134" i="6"/>
  <c r="I133" i="6"/>
  <c r="H133" i="6"/>
  <c r="G133" i="6"/>
  <c r="F133" i="6"/>
  <c r="E133" i="6"/>
  <c r="D133" i="6"/>
  <c r="C133" i="6"/>
  <c r="I132" i="6"/>
  <c r="H132" i="6"/>
  <c r="G132" i="6"/>
  <c r="F132" i="6"/>
  <c r="E132" i="6"/>
  <c r="D132" i="6"/>
  <c r="C132" i="6"/>
  <c r="I131" i="6"/>
  <c r="H131" i="6"/>
  <c r="G131" i="6"/>
  <c r="F131" i="6"/>
  <c r="E131" i="6"/>
  <c r="D131" i="6"/>
  <c r="C131" i="6"/>
  <c r="I130" i="6"/>
  <c r="H130" i="6"/>
  <c r="G130" i="6"/>
  <c r="F130" i="6"/>
  <c r="E130" i="6"/>
  <c r="D130" i="6"/>
  <c r="C130" i="6"/>
  <c r="I129" i="6"/>
  <c r="H129" i="6"/>
  <c r="G129" i="6"/>
  <c r="F129" i="6"/>
  <c r="E129" i="6"/>
  <c r="D129" i="6"/>
  <c r="C129" i="6"/>
  <c r="I128" i="6"/>
  <c r="H128" i="6"/>
  <c r="G128" i="6"/>
  <c r="F128" i="6"/>
  <c r="E128" i="6"/>
  <c r="D128" i="6"/>
  <c r="C128" i="6"/>
  <c r="I127" i="6"/>
  <c r="H127" i="6"/>
  <c r="G127" i="6"/>
  <c r="F127" i="6"/>
  <c r="E127" i="6"/>
  <c r="D127" i="6"/>
  <c r="C127" i="6"/>
  <c r="I126" i="6"/>
  <c r="H126" i="6"/>
  <c r="G126" i="6"/>
  <c r="F126" i="6"/>
  <c r="E126" i="6"/>
  <c r="D126" i="6"/>
  <c r="C126" i="6"/>
  <c r="I125" i="6"/>
  <c r="H125" i="6"/>
  <c r="G125" i="6"/>
  <c r="F125" i="6"/>
  <c r="E125" i="6"/>
  <c r="D125" i="6"/>
  <c r="C125" i="6"/>
  <c r="I124" i="6"/>
  <c r="H124" i="6"/>
  <c r="G124" i="6"/>
  <c r="F124" i="6"/>
  <c r="E124" i="6"/>
  <c r="D124" i="6"/>
  <c r="C124" i="6"/>
  <c r="I123" i="6"/>
  <c r="H123" i="6"/>
  <c r="G123" i="6"/>
  <c r="F123" i="6"/>
  <c r="E123" i="6"/>
  <c r="D123" i="6"/>
  <c r="C123" i="6"/>
  <c r="I122" i="6"/>
  <c r="H122" i="6"/>
  <c r="G122" i="6"/>
  <c r="F122" i="6"/>
  <c r="E122" i="6"/>
  <c r="D122" i="6"/>
  <c r="C122" i="6"/>
  <c r="I121" i="6"/>
  <c r="H121" i="6"/>
  <c r="G121" i="6"/>
  <c r="F121" i="6"/>
  <c r="E121" i="6"/>
  <c r="D121" i="6"/>
  <c r="C121" i="6"/>
  <c r="I120" i="6"/>
  <c r="H120" i="6"/>
  <c r="G120" i="6"/>
  <c r="F120" i="6"/>
  <c r="E120" i="6"/>
  <c r="D120" i="6"/>
  <c r="C120" i="6"/>
  <c r="I119" i="6"/>
  <c r="H119" i="6"/>
  <c r="G119" i="6"/>
  <c r="F119" i="6"/>
  <c r="E119" i="6"/>
  <c r="D119" i="6"/>
  <c r="C119" i="6"/>
  <c r="I118" i="6"/>
  <c r="H118" i="6"/>
  <c r="G118" i="6"/>
  <c r="F118" i="6"/>
  <c r="E118" i="6"/>
  <c r="D118" i="6"/>
  <c r="C118" i="6"/>
  <c r="I117" i="6"/>
  <c r="H117" i="6"/>
  <c r="G117" i="6"/>
  <c r="F117" i="6"/>
  <c r="E117" i="6"/>
  <c r="D117" i="6"/>
  <c r="C117" i="6"/>
  <c r="I116" i="6"/>
  <c r="H116" i="6"/>
  <c r="G116" i="6"/>
  <c r="F116" i="6"/>
  <c r="E116" i="6"/>
  <c r="D116" i="6"/>
  <c r="C116" i="6"/>
  <c r="I115" i="6"/>
  <c r="H115" i="6"/>
  <c r="G115" i="6"/>
  <c r="F115" i="6"/>
  <c r="E115" i="6"/>
  <c r="D115" i="6"/>
  <c r="C115" i="6"/>
  <c r="I114" i="6"/>
  <c r="H114" i="6"/>
  <c r="G114" i="6"/>
  <c r="F114" i="6"/>
  <c r="E114" i="6"/>
  <c r="D114" i="6"/>
  <c r="C114" i="6"/>
  <c r="I113" i="6"/>
  <c r="H113" i="6"/>
  <c r="G113" i="6"/>
  <c r="F113" i="6"/>
  <c r="E113" i="6"/>
  <c r="D113" i="6"/>
  <c r="C113" i="6"/>
  <c r="I112" i="6"/>
  <c r="H112" i="6"/>
  <c r="G112" i="6"/>
  <c r="F112" i="6"/>
  <c r="E112" i="6"/>
  <c r="D112" i="6"/>
  <c r="C112" i="6"/>
  <c r="I111" i="6"/>
  <c r="H111" i="6"/>
  <c r="G111" i="6"/>
  <c r="F111" i="6"/>
  <c r="E111" i="6"/>
  <c r="D111" i="6"/>
  <c r="C111" i="6"/>
  <c r="I110" i="6"/>
  <c r="H110" i="6"/>
  <c r="G110" i="6"/>
  <c r="F110" i="6"/>
  <c r="E110" i="6"/>
  <c r="D110" i="6"/>
  <c r="C110" i="6"/>
  <c r="I109" i="6"/>
  <c r="H109" i="6"/>
  <c r="G109" i="6"/>
  <c r="F109" i="6"/>
  <c r="E109" i="6"/>
  <c r="D109" i="6"/>
  <c r="C109" i="6"/>
  <c r="I108" i="6"/>
  <c r="H108" i="6"/>
  <c r="G108" i="6"/>
  <c r="F108" i="6"/>
  <c r="E108" i="6"/>
  <c r="D108" i="6"/>
  <c r="C108" i="6"/>
  <c r="I107" i="6"/>
  <c r="H107" i="6"/>
  <c r="G107" i="6"/>
  <c r="F107" i="6"/>
  <c r="E107" i="6"/>
  <c r="D107" i="6"/>
  <c r="C107" i="6"/>
  <c r="I106" i="6"/>
  <c r="H106" i="6"/>
  <c r="G106" i="6"/>
  <c r="F106" i="6"/>
  <c r="E106" i="6"/>
  <c r="D106" i="6"/>
  <c r="C106" i="6"/>
  <c r="I105" i="6"/>
  <c r="H105" i="6"/>
  <c r="G105" i="6"/>
  <c r="F105" i="6"/>
  <c r="E105" i="6"/>
  <c r="D105" i="6"/>
  <c r="C105" i="6"/>
  <c r="I104" i="6"/>
  <c r="H104" i="6"/>
  <c r="G104" i="6"/>
  <c r="F104" i="6"/>
  <c r="E104" i="6"/>
  <c r="D104" i="6"/>
  <c r="C104" i="6"/>
  <c r="I103" i="6"/>
  <c r="H103" i="6"/>
  <c r="G103" i="6"/>
  <c r="F103" i="6"/>
  <c r="E103" i="6"/>
  <c r="D103" i="6"/>
  <c r="C103" i="6"/>
  <c r="I102" i="6"/>
  <c r="H102" i="6"/>
  <c r="G102" i="6"/>
  <c r="F102" i="6"/>
  <c r="E102" i="6"/>
  <c r="D102" i="6"/>
  <c r="C102" i="6"/>
  <c r="I101" i="6"/>
  <c r="H101" i="6"/>
  <c r="G101" i="6"/>
  <c r="F101" i="6"/>
  <c r="E101" i="6"/>
  <c r="D101" i="6"/>
  <c r="C101" i="6"/>
  <c r="I100" i="6"/>
  <c r="H100" i="6"/>
  <c r="G100" i="6"/>
  <c r="F100" i="6"/>
  <c r="E100" i="6"/>
  <c r="D100" i="6"/>
  <c r="C100" i="6"/>
  <c r="I99" i="6"/>
  <c r="H99" i="6"/>
  <c r="G99" i="6"/>
  <c r="F99" i="6"/>
  <c r="E99" i="6"/>
  <c r="D99" i="6"/>
  <c r="C99" i="6"/>
  <c r="I98" i="6"/>
  <c r="H98" i="6"/>
  <c r="G98" i="6"/>
  <c r="F98" i="6"/>
  <c r="E98" i="6"/>
  <c r="D98" i="6"/>
  <c r="C98" i="6"/>
  <c r="I97" i="6"/>
  <c r="H97" i="6"/>
  <c r="G97" i="6"/>
  <c r="F97" i="6"/>
  <c r="E97" i="6"/>
  <c r="D97" i="6"/>
  <c r="C97" i="6"/>
  <c r="I96" i="6"/>
  <c r="H96" i="6"/>
  <c r="G96" i="6"/>
  <c r="F96" i="6"/>
  <c r="E96" i="6"/>
  <c r="D96" i="6"/>
  <c r="C96" i="6"/>
  <c r="I95" i="6"/>
  <c r="H95" i="6"/>
  <c r="G95" i="6"/>
  <c r="F95" i="6"/>
  <c r="E95" i="6"/>
  <c r="D95" i="6"/>
  <c r="C95" i="6"/>
  <c r="I94" i="6"/>
  <c r="H94" i="6"/>
  <c r="G94" i="6"/>
  <c r="F94" i="6"/>
  <c r="E94" i="6"/>
  <c r="D94" i="6"/>
  <c r="C94" i="6"/>
  <c r="I93" i="6"/>
  <c r="H93" i="6"/>
  <c r="G93" i="6"/>
  <c r="F93" i="6"/>
  <c r="E93" i="6"/>
  <c r="D93" i="6"/>
  <c r="C93" i="6"/>
  <c r="I92" i="6"/>
  <c r="H92" i="6"/>
  <c r="G92" i="6"/>
  <c r="F92" i="6"/>
  <c r="E92" i="6"/>
  <c r="D92" i="6"/>
  <c r="C92" i="6"/>
  <c r="I91" i="6"/>
  <c r="H91" i="6"/>
  <c r="G91" i="6"/>
  <c r="F91" i="6"/>
  <c r="E91" i="6"/>
  <c r="D91" i="6"/>
  <c r="C91" i="6"/>
  <c r="I90" i="6"/>
  <c r="H90" i="6"/>
  <c r="G90" i="6"/>
  <c r="F90" i="6"/>
  <c r="E90" i="6"/>
  <c r="D90" i="6"/>
  <c r="C90" i="6"/>
  <c r="I89" i="6"/>
  <c r="H89" i="6"/>
  <c r="G89" i="6"/>
  <c r="F89" i="6"/>
  <c r="E89" i="6"/>
  <c r="D89" i="6"/>
  <c r="C89" i="6"/>
  <c r="I88" i="6"/>
  <c r="H88" i="6"/>
  <c r="G88" i="6"/>
  <c r="F88" i="6"/>
  <c r="E88" i="6"/>
  <c r="D88" i="6"/>
  <c r="C88" i="6"/>
  <c r="I87" i="6"/>
  <c r="H87" i="6"/>
  <c r="G87" i="6"/>
  <c r="F87" i="6"/>
  <c r="E87" i="6"/>
  <c r="D87" i="6"/>
  <c r="C87" i="6"/>
  <c r="I86" i="6"/>
  <c r="H86" i="6"/>
  <c r="G86" i="6"/>
  <c r="F86" i="6"/>
  <c r="E86" i="6"/>
  <c r="D86" i="6"/>
  <c r="C86" i="6"/>
  <c r="I85" i="6"/>
  <c r="H85" i="6"/>
  <c r="G85" i="6"/>
  <c r="F85" i="6"/>
  <c r="E85" i="6"/>
  <c r="D85" i="6"/>
  <c r="C85" i="6"/>
  <c r="I84" i="6"/>
  <c r="H84" i="6"/>
  <c r="G84" i="6"/>
  <c r="F84" i="6"/>
  <c r="E84" i="6"/>
  <c r="D84" i="6"/>
  <c r="C84" i="6"/>
  <c r="I83" i="6"/>
  <c r="H83" i="6"/>
  <c r="G83" i="6"/>
  <c r="F83" i="6"/>
  <c r="E83" i="6"/>
  <c r="D83" i="6"/>
  <c r="C83" i="6"/>
  <c r="I82" i="6"/>
  <c r="H82" i="6"/>
  <c r="G82" i="6"/>
  <c r="F82" i="6"/>
  <c r="E82" i="6"/>
  <c r="D82" i="6"/>
  <c r="C82" i="6"/>
  <c r="I81" i="6"/>
  <c r="H81" i="6"/>
  <c r="G81" i="6"/>
  <c r="F81" i="6"/>
  <c r="E81" i="6"/>
  <c r="D81" i="6"/>
  <c r="C81" i="6"/>
  <c r="I80" i="6"/>
  <c r="H80" i="6"/>
  <c r="G80" i="6"/>
  <c r="F80" i="6"/>
  <c r="E80" i="6"/>
  <c r="D80" i="6"/>
  <c r="C80" i="6"/>
  <c r="I79" i="6"/>
  <c r="H79" i="6"/>
  <c r="G79" i="6"/>
  <c r="F79" i="6"/>
  <c r="E79" i="6"/>
  <c r="D79" i="6"/>
  <c r="C79" i="6"/>
  <c r="I78" i="6"/>
  <c r="H78" i="6"/>
  <c r="G78" i="6"/>
  <c r="F78" i="6"/>
  <c r="E78" i="6"/>
  <c r="D78" i="6"/>
  <c r="C78" i="6"/>
  <c r="I77" i="6"/>
  <c r="H77" i="6"/>
  <c r="G77" i="6"/>
  <c r="F77" i="6"/>
  <c r="E77" i="6"/>
  <c r="D77" i="6"/>
  <c r="C77" i="6"/>
  <c r="I76" i="6"/>
  <c r="H76" i="6"/>
  <c r="G76" i="6"/>
  <c r="F76" i="6"/>
  <c r="E76" i="6"/>
  <c r="D76" i="6"/>
  <c r="C76" i="6"/>
  <c r="I75" i="6"/>
  <c r="H75" i="6"/>
  <c r="G75" i="6"/>
  <c r="F75" i="6"/>
  <c r="E75" i="6"/>
  <c r="D75" i="6"/>
  <c r="C75" i="6"/>
  <c r="I74" i="6"/>
  <c r="H74" i="6"/>
  <c r="G74" i="6"/>
  <c r="F74" i="6"/>
  <c r="E74" i="6"/>
  <c r="D74" i="6"/>
  <c r="C74" i="6"/>
  <c r="I73" i="6"/>
  <c r="H73" i="6"/>
  <c r="G73" i="6"/>
  <c r="F73" i="6"/>
  <c r="E73" i="6"/>
  <c r="D73" i="6"/>
  <c r="C73" i="6"/>
  <c r="I72" i="6"/>
  <c r="H72" i="6"/>
  <c r="G72" i="6"/>
  <c r="F72" i="6"/>
  <c r="E72" i="6"/>
  <c r="D72" i="6"/>
  <c r="C72" i="6"/>
  <c r="I71" i="6"/>
  <c r="H71" i="6"/>
  <c r="G71" i="6"/>
  <c r="F71" i="6"/>
  <c r="E71" i="6"/>
  <c r="D71" i="6"/>
  <c r="C71" i="6"/>
  <c r="I70" i="6"/>
  <c r="H70" i="6"/>
  <c r="G70" i="6"/>
  <c r="F70" i="6"/>
  <c r="E70" i="6"/>
  <c r="D70" i="6"/>
  <c r="C70" i="6"/>
  <c r="I69" i="6"/>
  <c r="H69" i="6"/>
  <c r="G69" i="6"/>
  <c r="F69" i="6"/>
  <c r="E69" i="6"/>
  <c r="D69" i="6"/>
  <c r="C69" i="6"/>
  <c r="I68" i="6"/>
  <c r="H68" i="6"/>
  <c r="G68" i="6"/>
  <c r="F68" i="6"/>
  <c r="E68" i="6"/>
  <c r="D68" i="6"/>
  <c r="C68" i="6"/>
  <c r="I67" i="6"/>
  <c r="H67" i="6"/>
  <c r="G67" i="6"/>
  <c r="F67" i="6"/>
  <c r="E67" i="6"/>
  <c r="D67" i="6"/>
  <c r="C67" i="6"/>
  <c r="I66" i="6"/>
  <c r="H66" i="6"/>
  <c r="G66" i="6"/>
  <c r="F66" i="6"/>
  <c r="E66" i="6"/>
  <c r="D66" i="6"/>
  <c r="C66" i="6"/>
  <c r="I65" i="6"/>
  <c r="H65" i="6"/>
  <c r="G65" i="6"/>
  <c r="F65" i="6"/>
  <c r="E65" i="6"/>
  <c r="D65" i="6"/>
  <c r="C65" i="6"/>
  <c r="I64" i="6"/>
  <c r="H64" i="6"/>
  <c r="G64" i="6"/>
  <c r="F64" i="6"/>
  <c r="E64" i="6"/>
  <c r="D64" i="6"/>
  <c r="C64" i="6"/>
  <c r="I63" i="6"/>
  <c r="H63" i="6"/>
  <c r="G63" i="6"/>
  <c r="F63" i="6"/>
  <c r="E63" i="6"/>
  <c r="D63" i="6"/>
  <c r="C63" i="6"/>
  <c r="I62" i="6"/>
  <c r="H62" i="6"/>
  <c r="G62" i="6"/>
  <c r="F62" i="6"/>
  <c r="E62" i="6"/>
  <c r="D62" i="6"/>
  <c r="C62" i="6"/>
  <c r="I61" i="6"/>
  <c r="H61" i="6"/>
  <c r="G61" i="6"/>
  <c r="F61" i="6"/>
  <c r="E61" i="6"/>
  <c r="D61" i="6"/>
  <c r="C61" i="6"/>
  <c r="I60" i="6"/>
  <c r="H60" i="6"/>
  <c r="G60" i="6"/>
  <c r="F60" i="6"/>
  <c r="E60" i="6"/>
  <c r="D60" i="6"/>
  <c r="C60" i="6"/>
  <c r="I59" i="6"/>
  <c r="H59" i="6"/>
  <c r="G59" i="6"/>
  <c r="F59" i="6"/>
  <c r="E59" i="6"/>
  <c r="D59" i="6"/>
  <c r="C59" i="6"/>
  <c r="I58" i="6"/>
  <c r="H58" i="6"/>
  <c r="G58" i="6"/>
  <c r="F58" i="6"/>
  <c r="E58" i="6"/>
  <c r="D58" i="6"/>
  <c r="C58" i="6"/>
  <c r="I57" i="6"/>
  <c r="H57" i="6"/>
  <c r="G57" i="6"/>
  <c r="F57" i="6"/>
  <c r="E57" i="6"/>
  <c r="D57" i="6"/>
  <c r="C57" i="6"/>
  <c r="I56" i="6"/>
  <c r="H56" i="6"/>
  <c r="G56" i="6"/>
  <c r="F56" i="6"/>
  <c r="E56" i="6"/>
  <c r="D56" i="6"/>
  <c r="C56" i="6"/>
  <c r="I55" i="6"/>
  <c r="H55" i="6"/>
  <c r="G55" i="6"/>
  <c r="F55" i="6"/>
  <c r="E55" i="6"/>
  <c r="D55" i="6"/>
  <c r="C55" i="6"/>
  <c r="I54" i="6"/>
  <c r="H54" i="6"/>
  <c r="G54" i="6"/>
  <c r="F54" i="6"/>
  <c r="E54" i="6"/>
  <c r="D54" i="6"/>
  <c r="C54" i="6"/>
  <c r="I53" i="6"/>
  <c r="H53" i="6"/>
  <c r="G53" i="6"/>
  <c r="F53" i="6"/>
  <c r="E53" i="6"/>
  <c r="D53" i="6"/>
  <c r="C53" i="6"/>
  <c r="I52" i="6"/>
  <c r="H52" i="6"/>
  <c r="G52" i="6"/>
  <c r="F52" i="6"/>
  <c r="E52" i="6"/>
  <c r="D52" i="6"/>
  <c r="C52" i="6"/>
  <c r="I51" i="6"/>
  <c r="H51" i="6"/>
  <c r="G51" i="6"/>
  <c r="F51" i="6"/>
  <c r="E51" i="6"/>
  <c r="D51" i="6"/>
  <c r="C51" i="6"/>
  <c r="I50" i="6"/>
  <c r="H50" i="6"/>
  <c r="G50" i="6"/>
  <c r="F50" i="6"/>
  <c r="E50" i="6"/>
  <c r="D50" i="6"/>
  <c r="C50" i="6"/>
  <c r="I49" i="6"/>
  <c r="H49" i="6"/>
  <c r="G49" i="6"/>
  <c r="F49" i="6"/>
  <c r="E49" i="6"/>
  <c r="D49" i="6"/>
  <c r="C49" i="6"/>
  <c r="I48" i="6"/>
  <c r="H48" i="6"/>
  <c r="G48" i="6"/>
  <c r="F48" i="6"/>
  <c r="E48" i="6"/>
  <c r="D48" i="6"/>
  <c r="C48" i="6"/>
  <c r="I47" i="6"/>
  <c r="H47" i="6"/>
  <c r="G47" i="6"/>
  <c r="F47" i="6"/>
  <c r="E47" i="6"/>
  <c r="D47" i="6"/>
  <c r="C47" i="6"/>
  <c r="I46" i="6"/>
  <c r="H46" i="6"/>
  <c r="G46" i="6"/>
  <c r="F46" i="6"/>
  <c r="E46" i="6"/>
  <c r="D46" i="6"/>
  <c r="C46" i="6"/>
  <c r="I45" i="6"/>
  <c r="H45" i="6"/>
  <c r="G45" i="6"/>
  <c r="F45" i="6"/>
  <c r="E45" i="6"/>
  <c r="D45" i="6"/>
  <c r="C45" i="6"/>
  <c r="I44" i="6"/>
  <c r="H44" i="6"/>
  <c r="G44" i="6"/>
  <c r="F44" i="6"/>
  <c r="E44" i="6"/>
  <c r="D44" i="6"/>
  <c r="C44" i="6"/>
  <c r="I43" i="6"/>
  <c r="H43" i="6"/>
  <c r="G43" i="6"/>
  <c r="F43" i="6"/>
  <c r="E43" i="6"/>
  <c r="D43" i="6"/>
  <c r="C43" i="6"/>
  <c r="I42" i="6"/>
  <c r="H42" i="6"/>
  <c r="G42" i="6"/>
  <c r="F42" i="6"/>
  <c r="E42" i="6"/>
  <c r="D42" i="6"/>
  <c r="C42" i="6"/>
  <c r="I41" i="6"/>
  <c r="H41" i="6"/>
  <c r="G41" i="6"/>
  <c r="F41" i="6"/>
  <c r="E41" i="6"/>
  <c r="D41" i="6"/>
  <c r="C41" i="6"/>
  <c r="I40" i="6"/>
  <c r="H40" i="6"/>
  <c r="G40" i="6"/>
  <c r="F40" i="6"/>
  <c r="E40" i="6"/>
  <c r="D40" i="6"/>
  <c r="C40" i="6"/>
  <c r="I39" i="6"/>
  <c r="H39" i="6"/>
  <c r="G39" i="6"/>
  <c r="F39" i="6"/>
  <c r="E39" i="6"/>
  <c r="D39" i="6"/>
  <c r="C39" i="6"/>
  <c r="I38" i="6"/>
  <c r="H38" i="6"/>
  <c r="G38" i="6"/>
  <c r="F38" i="6"/>
  <c r="E38" i="6"/>
  <c r="D38" i="6"/>
  <c r="C38" i="6"/>
  <c r="I37" i="6"/>
  <c r="H37" i="6"/>
  <c r="G37" i="6"/>
  <c r="F37" i="6"/>
  <c r="E37" i="6"/>
  <c r="D37" i="6"/>
  <c r="C37" i="6"/>
  <c r="I36" i="6"/>
  <c r="H36" i="6"/>
  <c r="G36" i="6"/>
  <c r="F36" i="6"/>
  <c r="E36" i="6"/>
  <c r="D36" i="6"/>
  <c r="C36" i="6"/>
  <c r="I35" i="6"/>
  <c r="H35" i="6"/>
  <c r="G35" i="6"/>
  <c r="F35" i="6"/>
  <c r="E35" i="6"/>
  <c r="D35" i="6"/>
  <c r="C35" i="6"/>
  <c r="I34" i="6"/>
  <c r="H34" i="6"/>
  <c r="G34" i="6"/>
  <c r="F34" i="6"/>
  <c r="E34" i="6"/>
  <c r="D34" i="6"/>
  <c r="C34" i="6"/>
  <c r="I33" i="6"/>
  <c r="H33" i="6"/>
  <c r="G33" i="6"/>
  <c r="F33" i="6"/>
  <c r="E33" i="6"/>
  <c r="D33" i="6"/>
  <c r="C33" i="6"/>
  <c r="I32" i="6"/>
  <c r="H32" i="6"/>
  <c r="G32" i="6"/>
  <c r="F32" i="6"/>
  <c r="E32" i="6"/>
  <c r="D32" i="6"/>
  <c r="C32" i="6"/>
  <c r="I31" i="6"/>
  <c r="H31" i="6"/>
  <c r="G31" i="6"/>
  <c r="F31" i="6"/>
  <c r="E31" i="6"/>
  <c r="D31" i="6"/>
  <c r="C31" i="6"/>
  <c r="I30" i="6"/>
  <c r="H30" i="6"/>
  <c r="G30" i="6"/>
  <c r="F30" i="6"/>
  <c r="E30" i="6"/>
  <c r="D30" i="6"/>
  <c r="C30" i="6"/>
  <c r="I29" i="6"/>
  <c r="H29" i="6"/>
  <c r="G29" i="6"/>
  <c r="F29" i="6"/>
  <c r="E29" i="6"/>
  <c r="D29" i="6"/>
  <c r="C29" i="6"/>
  <c r="I28" i="6"/>
  <c r="H28" i="6"/>
  <c r="G28" i="6"/>
  <c r="F28" i="6"/>
  <c r="E28" i="6"/>
  <c r="D28" i="6"/>
  <c r="C28" i="6"/>
  <c r="I27" i="6"/>
  <c r="H27" i="6"/>
  <c r="G27" i="6"/>
  <c r="F27" i="6"/>
  <c r="E27" i="6"/>
  <c r="D27" i="6"/>
  <c r="C27" i="6"/>
  <c r="I26" i="6"/>
  <c r="H26" i="6"/>
  <c r="G26" i="6"/>
  <c r="F26" i="6"/>
  <c r="E26" i="6"/>
  <c r="D26" i="6"/>
  <c r="C26" i="6"/>
  <c r="I25" i="6"/>
  <c r="H25" i="6"/>
  <c r="G25" i="6"/>
  <c r="F25" i="6"/>
  <c r="E25" i="6"/>
  <c r="D25" i="6"/>
  <c r="C25" i="6"/>
  <c r="I24" i="6"/>
  <c r="H24" i="6"/>
  <c r="G24" i="6"/>
  <c r="F24" i="6"/>
  <c r="E24" i="6"/>
  <c r="D24" i="6"/>
  <c r="C24" i="6"/>
  <c r="I23" i="6"/>
  <c r="H23" i="6"/>
  <c r="G23" i="6"/>
  <c r="F23" i="6"/>
  <c r="E23" i="6"/>
  <c r="D23" i="6"/>
  <c r="C23" i="6"/>
  <c r="I22" i="6"/>
  <c r="H22" i="6"/>
  <c r="G22" i="6"/>
  <c r="F22" i="6"/>
  <c r="E22" i="6"/>
  <c r="D22" i="6"/>
  <c r="C22" i="6"/>
  <c r="I21" i="6"/>
  <c r="H21" i="6"/>
  <c r="G21" i="6"/>
  <c r="F21" i="6"/>
  <c r="E21" i="6"/>
  <c r="D21" i="6"/>
  <c r="C21" i="6"/>
  <c r="I20" i="6"/>
  <c r="H20" i="6"/>
  <c r="G20" i="6"/>
  <c r="F20" i="6"/>
  <c r="E20" i="6"/>
  <c r="D20" i="6"/>
  <c r="C20" i="6"/>
  <c r="I19" i="6"/>
  <c r="H19" i="6"/>
  <c r="G19" i="6"/>
  <c r="F19" i="6"/>
  <c r="E19" i="6"/>
  <c r="D19" i="6"/>
  <c r="C19" i="6"/>
  <c r="I18" i="6"/>
  <c r="H18" i="6"/>
  <c r="G18" i="6"/>
  <c r="F18" i="6"/>
  <c r="E18" i="6"/>
  <c r="D18" i="6"/>
  <c r="C18" i="6"/>
  <c r="I17" i="6"/>
  <c r="H17" i="6"/>
  <c r="G17" i="6"/>
  <c r="F17" i="6"/>
  <c r="E17" i="6"/>
  <c r="D17" i="6"/>
  <c r="C17" i="6"/>
  <c r="I16" i="6"/>
  <c r="H16" i="6"/>
  <c r="G16" i="6"/>
  <c r="F16" i="6"/>
  <c r="E16" i="6"/>
  <c r="D16" i="6"/>
  <c r="C16" i="6"/>
  <c r="I15" i="6"/>
  <c r="H15" i="6"/>
  <c r="G15" i="6"/>
  <c r="F15" i="6"/>
  <c r="E15" i="6"/>
  <c r="D15" i="6"/>
  <c r="C15" i="6"/>
  <c r="I14" i="6"/>
  <c r="H14" i="6"/>
  <c r="G14" i="6"/>
  <c r="F14" i="6"/>
  <c r="E14" i="6"/>
  <c r="D14" i="6"/>
  <c r="C14" i="6"/>
  <c r="I13" i="6"/>
  <c r="H13" i="6"/>
  <c r="G13" i="6"/>
  <c r="F13" i="6"/>
  <c r="E13" i="6"/>
  <c r="D13" i="6"/>
  <c r="C13" i="6"/>
  <c r="I12" i="6"/>
  <c r="H12" i="6"/>
  <c r="G12" i="6"/>
  <c r="F12" i="6"/>
  <c r="E12" i="6"/>
  <c r="D12" i="6"/>
  <c r="C12" i="6"/>
  <c r="I11" i="6"/>
  <c r="H11" i="6"/>
  <c r="G11" i="6"/>
  <c r="F11" i="6"/>
  <c r="E11" i="6"/>
  <c r="D11" i="6"/>
  <c r="C11" i="6"/>
  <c r="I10" i="6"/>
  <c r="H10" i="6"/>
  <c r="G10" i="6"/>
  <c r="F10" i="6"/>
  <c r="E10" i="6"/>
  <c r="D10" i="6"/>
  <c r="C10" i="6"/>
  <c r="I9" i="6"/>
  <c r="H9" i="6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G7" i="6"/>
  <c r="F7" i="6"/>
  <c r="E7" i="6"/>
  <c r="D7" i="6"/>
  <c r="C7" i="6"/>
  <c r="I6" i="6"/>
  <c r="H6" i="6"/>
  <c r="G6" i="6"/>
  <c r="F6" i="6"/>
  <c r="E6" i="6"/>
  <c r="D6" i="6"/>
  <c r="C6" i="6"/>
  <c r="I5" i="6"/>
  <c r="H5" i="6"/>
  <c r="G5" i="6"/>
  <c r="F5" i="6"/>
  <c r="E5" i="6"/>
  <c r="D5" i="6"/>
  <c r="C5" i="6"/>
  <c r="I4" i="6"/>
  <c r="H4" i="6"/>
  <c r="G4" i="6"/>
  <c r="F4" i="6"/>
  <c r="E4" i="6"/>
  <c r="D4" i="6"/>
  <c r="C4" i="6"/>
  <c r="I3" i="6"/>
  <c r="H3" i="6"/>
  <c r="G3" i="6"/>
  <c r="F3" i="6"/>
  <c r="E3" i="6"/>
  <c r="D3" i="6"/>
  <c r="C3" i="6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<sst xmlns="http://schemas.openxmlformats.org/spreadsheetml/2006/main" count="360" uniqueCount="152">
  <si>
    <t>PO ID</t>
  </si>
  <si>
    <t>PO Line</t>
  </si>
  <si>
    <t>Order Date</t>
  </si>
  <si>
    <t>Vendor ID</t>
  </si>
  <si>
    <t>Item ID</t>
  </si>
  <si>
    <t>Dept ID</t>
  </si>
  <si>
    <t>Quantity</t>
  </si>
  <si>
    <t>Unit Price (BDT)</t>
  </si>
  <si>
    <t>Line Amount (BDT)</t>
  </si>
  <si>
    <t>Contract Status</t>
  </si>
  <si>
    <t>GRN Received (Y/N)</t>
  </si>
  <si>
    <t>Invoice Status</t>
  </si>
  <si>
    <t>PO2026001</t>
  </si>
  <si>
    <t>V03</t>
  </si>
  <si>
    <t>I03</t>
  </si>
  <si>
    <t>D01</t>
  </si>
  <si>
    <t>Compliant</t>
  </si>
  <si>
    <t>Y</t>
  </si>
  <si>
    <t>Paid</t>
  </si>
  <si>
    <t>PO2026002</t>
  </si>
  <si>
    <t>V01</t>
  </si>
  <si>
    <t>I01</t>
  </si>
  <si>
    <t>Maverick</t>
  </si>
  <si>
    <t>PO2026003</t>
  </si>
  <si>
    <t>V02</t>
  </si>
  <si>
    <t>I02</t>
  </si>
  <si>
    <t>D02</t>
  </si>
  <si>
    <t>Pending</t>
  </si>
  <si>
    <t>PO2026004</t>
  </si>
  <si>
    <t>V04</t>
  </si>
  <si>
    <t>I07</t>
  </si>
  <si>
    <t>PO2026005</t>
  </si>
  <si>
    <t>D04</t>
  </si>
  <si>
    <t>PO2026006</t>
  </si>
  <si>
    <t>V05</t>
  </si>
  <si>
    <t>I06</t>
  </si>
  <si>
    <t>PO2026007</t>
  </si>
  <si>
    <t>N</t>
  </si>
  <si>
    <t>PO2026008</t>
  </si>
  <si>
    <t>V07</t>
  </si>
  <si>
    <t>I08</t>
  </si>
  <si>
    <t>PO2026009</t>
  </si>
  <si>
    <t>V06</t>
  </si>
  <si>
    <t>I10</t>
  </si>
  <si>
    <t>PO2026010</t>
  </si>
  <si>
    <t>PO2026011</t>
  </si>
  <si>
    <t>PO2026012</t>
  </si>
  <si>
    <t>PO2026013</t>
  </si>
  <si>
    <t>D03</t>
  </si>
  <si>
    <t>PO2026014</t>
  </si>
  <si>
    <t>PO2026015</t>
  </si>
  <si>
    <t>I04</t>
  </si>
  <si>
    <t>PO2026016</t>
  </si>
  <si>
    <t>PO2026017</t>
  </si>
  <si>
    <t>PO2026018</t>
  </si>
  <si>
    <t>PO2026019</t>
  </si>
  <si>
    <t>PO2026020</t>
  </si>
  <si>
    <t>PO2026021</t>
  </si>
  <si>
    <t>I09</t>
  </si>
  <si>
    <t>PO2026022</t>
  </si>
  <si>
    <t>PO2026023</t>
  </si>
  <si>
    <t>PO2026024</t>
  </si>
  <si>
    <t>PO2026025</t>
  </si>
  <si>
    <t>PO2026026</t>
  </si>
  <si>
    <t>PO2026027</t>
  </si>
  <si>
    <t>PO2026028</t>
  </si>
  <si>
    <t>I05</t>
  </si>
  <si>
    <t>PO2026029</t>
  </si>
  <si>
    <t>PO2026030</t>
  </si>
  <si>
    <t>Vendor Name</t>
  </si>
  <si>
    <t>Category</t>
  </si>
  <si>
    <t>Region</t>
  </si>
  <si>
    <t>Segment
(Strategic/Leverage/Bottleneck/Tail)</t>
  </si>
  <si>
    <t>Contract Start</t>
  </si>
  <si>
    <t>Contract End</t>
  </si>
  <si>
    <t>Payment Terms (Days)</t>
  </si>
  <si>
    <t>Approved (Y/N)</t>
  </si>
  <si>
    <t>Alpha Steel Traders</t>
  </si>
  <si>
    <t>Raw Materials</t>
  </si>
  <si>
    <t>Dhaka</t>
  </si>
  <si>
    <t>Strategic</t>
  </si>
  <si>
    <t>Nexus Packaging Ltd</t>
  </si>
  <si>
    <t>Packaging</t>
  </si>
  <si>
    <t>Chattogram</t>
  </si>
  <si>
    <t>Leverage</t>
  </si>
  <si>
    <t>Prime IT Solutions</t>
  </si>
  <si>
    <t>IT Equipment</t>
  </si>
  <si>
    <t>Bottleneck</t>
  </si>
  <si>
    <t>Greenfield Logistics</t>
  </si>
  <si>
    <t>Logistics</t>
  </si>
  <si>
    <t>Sylhet</t>
  </si>
  <si>
    <t>Metro Office Supplies</t>
  </si>
  <si>
    <t>Office Supplies</t>
  </si>
  <si>
    <t>Tail</t>
  </si>
  <si>
    <t>Sunrise Chemicals</t>
  </si>
  <si>
    <t>Khulna</t>
  </si>
  <si>
    <t>Falcon Facility Services</t>
  </si>
  <si>
    <t>MRO</t>
  </si>
  <si>
    <t>Item Name</t>
  </si>
  <si>
    <t>Sub-Category</t>
  </si>
  <si>
    <t>UOM</t>
  </si>
  <si>
    <t>Standard Unit Price</t>
  </si>
  <si>
    <t>Cold Rolled Steel Sheet</t>
  </si>
  <si>
    <t>Metal</t>
  </si>
  <si>
    <t>Ton</t>
  </si>
  <si>
    <t>Corrugated Carton Box</t>
  </si>
  <si>
    <t>Box</t>
  </si>
  <si>
    <t>Piece</t>
  </si>
  <si>
    <t>Laptop - Business Grade</t>
  </si>
  <si>
    <t>Hardware</t>
  </si>
  <si>
    <t>Desktop Printer</t>
  </si>
  <si>
    <t>Industrial Adhesive</t>
  </si>
  <si>
    <t>Chemical</t>
  </si>
  <si>
    <t>Litre</t>
  </si>
  <si>
    <t>A4 Paper Ream</t>
  </si>
  <si>
    <t>Stationery</t>
  </si>
  <si>
    <t>Ream</t>
  </si>
  <si>
    <t>Freight - Inbound</t>
  </si>
  <si>
    <t>Service</t>
  </si>
  <si>
    <t>Trip</t>
  </si>
  <si>
    <t>Facility Cleaning Service</t>
  </si>
  <si>
    <t>Month</t>
  </si>
  <si>
    <t>Polybag Roll</t>
  </si>
  <si>
    <t>Plastic</t>
  </si>
  <si>
    <t>Roll</t>
  </si>
  <si>
    <t>Industrial Solvent</t>
  </si>
  <si>
    <t>Department Name</t>
  </si>
  <si>
    <t>Cost Center Code</t>
  </si>
  <si>
    <t>Budget Owner</t>
  </si>
  <si>
    <t>Annual Budget (BDT)</t>
  </si>
  <si>
    <t>Production</t>
  </si>
  <si>
    <t>CC-1001</t>
  </si>
  <si>
    <t>Rafiq Ahmed</t>
  </si>
  <si>
    <t>IT</t>
  </si>
  <si>
    <t>CC-1002</t>
  </si>
  <si>
    <t>Nusrat Jahan</t>
  </si>
  <si>
    <t>Admin</t>
  </si>
  <si>
    <t>CC-1003</t>
  </si>
  <si>
    <t>Kamal Hossain</t>
  </si>
  <si>
    <t>Supply Chain</t>
  </si>
  <si>
    <t>CC-1004</t>
  </si>
  <si>
    <t>Sadia Islam</t>
  </si>
  <si>
    <t>Date</t>
  </si>
  <si>
    <t>Year</t>
  </si>
  <si>
    <t>Quarter</t>
  </si>
  <si>
    <t>Month Number</t>
  </si>
  <si>
    <t>Month Name</t>
  </si>
  <si>
    <t>Week Number</t>
  </si>
  <si>
    <t>Day Name</t>
  </si>
  <si>
    <t>Is Weekend</t>
  </si>
  <si>
    <t>নতুন বছর যোগ করতে: শেষ Date রো-র নিচে পরের তারিখ বসাও, তারপর C:I কলামের ফরমুলা নিচে কপি করো।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</si>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</sst>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11"/>
      <color theme="1"/>
      <name val="Calibri"/>
      <family val="2"/>
      <charset val="1"/>
    </font>
    <font>
      <i/>
      <sz val="11"/>
      <color rgb="FF555555"/>
      <name val="Arial"/>
      <charset val="1"/>
    </font>
    <font>
      <b/>
      <sz val="11"/>
      <color rgb="FFFFFFFF"/>
      <name val="Arial"/>
      <charset val="1"/>
    </font>
    <font>
      <sz val="10.5"/>
      <color rgb="FF0000FF"/>
      <name val="Arial"/>
      <charset val="1"/>
    </font>
    <font>
      <sz val="10.5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2F5C"/>
        <bgColor rgb="FF333333"/>
      </patternFill>
    </fill>
    <fill>
      <patternFill patternType="solid">
        <fgColor rgb="FFF2F2F2"/>
        <bgColor rgb="FFFFFFF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4" fontId="4" fillId="0" borderId="1" xfId="0" applyNumberFormat="1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4" fontId="3" fillId="4" borderId="1" xfId="0" applyNumberFormat="1" applyFont="1" applyFill="1" applyBorder="1"/>
    <xf numFmtId="4" fontId="4" fillId="4" borderId="1" xfId="0" applyNumberFormat="1" applyFont="1" applyFill="1" applyBorder="1"/>
    <xf numFmtId="0" fontId="0" fillId="2" borderId="1" xfId="0" applyFill="1" applyBorder="1"/>
    <xf numFmtId="4" fontId="4" fillId="2" borderId="1" xfId="0" applyNumberFormat="1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1" fillId="0" borderId="0" xfId="0" applyFont="1"/>
    <xf numFmtId="0" fontId="3" fillId="0" borderId="2" xfId="0" applyFont="1" applyBorder="1"/>
    <xf numFmtId="0" fontId="3" fillId="4" borderId="2" xfId="0" applyFont="1" applyFill="1" applyBorder="1"/>
    <xf numFmtId="0" fontId="3" fillId="0" borderId="3" xfId="0" applyFont="1" applyBorder="1"/>
    <xf numFmtId="0" fontId="3" fillId="4" borderId="3" xfId="0" applyFont="1" applyFill="1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8" xfId="0" applyFill="1" applyBorder="1"/>
    <xf numFmtId="4" fontId="4" fillId="2" borderId="8" xfId="0" applyNumberFormat="1" applyFont="1" applyFill="1" applyBorder="1"/>
    <xf numFmtId="0" fontId="0" fillId="2" borderId="9" xfId="0" applyFill="1" applyBorder="1"/>
    <xf numFmtId="3" fontId="3" fillId="0" borderId="3" xfId="0" applyNumberFormat="1" applyFont="1" applyBorder="1"/>
    <xf numFmtId="3" fontId="3" fillId="4" borderId="3" xfId="0" applyNumberFormat="1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3" fontId="3" fillId="4" borderId="9" xfId="0" applyNumberFormat="1" applyFont="1" applyFill="1" applyBorder="1"/>
    <xf numFmtId="164" fontId="3" fillId="0" borderId="2" xfId="0" applyNumberFormat="1" applyFont="1" applyBorder="1"/>
    <xf numFmtId="164" fontId="3" fillId="4" borderId="2" xfId="0" applyNumberFormat="1" applyFont="1" applyFill="1" applyBorder="1"/>
    <xf numFmtId="0" fontId="4" fillId="0" borderId="3" xfId="0" applyFont="1" applyBorder="1"/>
    <xf numFmtId="0" fontId="4" fillId="4" borderId="3" xfId="0" applyFont="1" applyFill="1" applyBorder="1"/>
    <xf numFmtId="164" fontId="3" fillId="0" borderId="7" xfId="0" applyNumberFormat="1" applyFont="1" applyBorder="1"/>
    <xf numFmtId="0" fontId="4" fillId="0" borderId="8" xfId="0" applyFont="1" applyBorder="1"/>
    <xf numFmtId="0" fontId="4" fillId="0" borderId="9" xfId="0" applyFont="1" applyBorder="1"/>
  </cellXfs>
  <cellStyles count="1">
    <cellStyle name="Normal" xfId="0" builtinId="0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2F5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numFmt numFmtId="164" formatCode="dd\-mmm\-yy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2F5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2F5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fill>
        <patternFill patternType="solid">
          <fgColor rgb="FFFFFFFF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numFmt numFmtId="3" formatCode="#,##0"/>
      <fill>
        <patternFill patternType="solid">
          <fgColor rgb="FFFFFFFF"/>
          <bgColor rgb="FFF2F2F2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fill>
        <patternFill patternType="solid">
          <fgColor rgb="FFFFFFFF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fill>
        <patternFill patternType="solid">
          <fgColor rgb="FFFFFFFF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fill>
        <patternFill patternType="solid">
          <fgColor rgb="FFFFFFFF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fill>
        <patternFill patternType="solid">
          <fgColor rgb="FFFFFFFF"/>
          <bgColor rgb="FFF2F2F2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fill>
        <patternFill patternType="solid">
          <fgColor rgb="FFFFFFFF"/>
          <bgColor rgb="FFF2F2F2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2F5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solid">
          <fgColor rgb="FFF2F2F2"/>
          <bgColor rgb="FFFFF2CC"/>
        </patternFill>
      </fill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  <numFmt numFmtId="4" formatCode="#,##0.00"/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2F2F2"/>
          <bgColor rgb="FFFFF2CC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2F5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numFmt numFmtId="164" formatCode="dd\-mmm\-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numFmt numFmtId="164" formatCode="dd\-mmm\-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FF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F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1C1C8-1236-4FDA-BD6B-E03BE6C24284}" name="Table1" displayName="Table1" ref="B1:J8" totalsRowShown="0" headerRowDxfId="45" headerRowBorderDxfId="56" tableBorderDxfId="57" totalsRowBorderDxfId="55">
  <autoFilter ref="B1:J8" xr:uid="{E871C1C8-1236-4FDA-BD6B-E03BE6C24284}"/>
  <tableColumns count="9">
    <tableColumn id="1" xr3:uid="{62502A45-E600-4F25-89CC-17C8D3AFDB4D}" name="Vendor ID" dataDxfId="54"/>
    <tableColumn id="2" xr3:uid="{401C47C5-6442-48ED-842D-CA5C4F029772}" name="Vendor Name" dataDxfId="53"/>
    <tableColumn id="3" xr3:uid="{67A993A3-A3CC-4814-9C94-E02E9E3F4E49}" name="Category" dataDxfId="52"/>
    <tableColumn id="4" xr3:uid="{9E25D7C3-822A-4ECC-BA96-DB6E9950A365}" name="Region" dataDxfId="51"/>
    <tableColumn id="5" xr3:uid="{AC570015-1D3D-45EF-B5DF-E366DF489690}" name="Segment_x000a_(Strategic/Leverage/Bottleneck/Tail)" dataDxfId="50"/>
    <tableColumn id="6" xr3:uid="{094771EF-9175-4170-8F1B-AEFA02ECF087}" name="Contract Start" dataDxfId="49"/>
    <tableColumn id="7" xr3:uid="{F0697368-E2B9-4935-B367-911B27DB8579}" name="Contract End" dataDxfId="48"/>
    <tableColumn id="8" xr3:uid="{8FFA5CA7-26DA-461B-9C81-903CCB72C097}" name="Payment Terms (Days)" dataDxfId="47"/>
    <tableColumn id="9" xr3:uid="{E1C8A089-F7DB-41BC-948E-E018C7C0FDA5}" name="Approved (Y/N)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DD617-66EB-4FC5-A9F0-8F9D36CE6AD6}" name="Table2" displayName="Table2" ref="B1:M39" totalsRowShown="0" headerRowDxfId="28" dataDxfId="29" headerRowBorderDxfId="43" tableBorderDxfId="44" totalsRowBorderDxfId="42">
  <autoFilter ref="B1:M39" xr:uid="{6E2DD617-66EB-4FC5-A9F0-8F9D36CE6AD6}"/>
  <tableColumns count="12">
    <tableColumn id="1" xr3:uid="{30B116C3-CF0B-416D-8ACA-E44067E1D2B8}" name="PO ID" dataDxfId="41"/>
    <tableColumn id="2" xr3:uid="{B1AE8D14-862D-4CE1-9A0D-A3561AD0316E}" name="PO Line" dataDxfId="40"/>
    <tableColumn id="3" xr3:uid="{5B3A8DED-D4EA-46E3-8D8E-299F1F6193D8}" name="Order Date" dataDxfId="39"/>
    <tableColumn id="4" xr3:uid="{48517E30-0E7A-4853-B941-648336AE7242}" name="Vendor ID" dataDxfId="38"/>
    <tableColumn id="5" xr3:uid="{733A04D1-C89D-4C7F-B6C9-2E597990591B}" name="Item ID" dataDxfId="37"/>
    <tableColumn id="6" xr3:uid="{604CCEF6-9AE3-435D-9FD4-3F311B1B02D8}" name="Dept ID" dataDxfId="36"/>
    <tableColumn id="7" xr3:uid="{3260C73E-CAAB-4CAD-B1C8-716C2D3E54E8}" name="Quantity" dataDxfId="35"/>
    <tableColumn id="8" xr3:uid="{64546A2C-2263-4645-ABD8-A964B4380F67}" name="Unit Price (BDT)" dataDxfId="34"/>
    <tableColumn id="9" xr3:uid="{2D7E9EE0-4FDD-4638-8462-CA1C278611F1}" name="Line Amount (BDT)" dataDxfId="33">
      <calculatedColumnFormula>H2*I2</calculatedColumnFormula>
    </tableColumn>
    <tableColumn id="10" xr3:uid="{F75A39DC-B9CD-40F4-818E-0320DE7A3C28}" name="Contract Status" dataDxfId="32"/>
    <tableColumn id="11" xr3:uid="{AB512C6F-1BA6-4785-8ED4-1E8A7C529747}" name="GRN Received (Y/N)" dataDxfId="31"/>
    <tableColumn id="12" xr3:uid="{8E29B422-47DE-4AEF-BCFE-BC8833C5538D}" name="Invoice Status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DA4E5D-FB33-4A99-B01D-B424E7CC1094}" name="Table4" displayName="Table4" ref="B1:G11" totalsRowShown="0" headerRowDxfId="17" dataDxfId="18" headerRowBorderDxfId="26" tableBorderDxfId="27" totalsRowBorderDxfId="25">
  <autoFilter ref="B1:G11" xr:uid="{DFDA4E5D-FB33-4A99-B01D-B424E7CC1094}"/>
  <tableColumns count="6">
    <tableColumn id="1" xr3:uid="{432E65DC-767A-4D1D-9CCA-A6020092E2FB}" name="Item ID" dataDxfId="24"/>
    <tableColumn id="2" xr3:uid="{BE7D5EDC-E880-4385-9537-897C82880F20}" name="Item Name" dataDxfId="23"/>
    <tableColumn id="3" xr3:uid="{F32E757E-B708-4A22-8227-E28F22289D93}" name="Category" dataDxfId="22"/>
    <tableColumn id="4" xr3:uid="{7E08775E-490D-4B29-AD11-A9583F874EF9}" name="Sub-Category" dataDxfId="21"/>
    <tableColumn id="5" xr3:uid="{7E9303F3-687C-4A52-8222-6F71ED21FA83}" name="UOM" dataDxfId="20"/>
    <tableColumn id="6" xr3:uid="{C24B82E1-6ED3-4B3C-A32F-0AC91B4E14CD}" name="Standard Unit Price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32BC72-7B84-4867-BF20-C657E6EDD434}" name="Table5" displayName="Table5" ref="B1:F5" totalsRowShown="0" headerRowDxfId="13" headerRowBorderDxfId="15" tableBorderDxfId="16" totalsRowBorderDxfId="14">
  <autoFilter ref="B1:F5" xr:uid="{1632BC72-7B84-4867-BF20-C657E6EDD434}"/>
  <tableColumns count="5">
    <tableColumn id="1" xr3:uid="{648385B5-F233-4534-85E8-5800D738F07D}" name="Dept ID"/>
    <tableColumn id="2" xr3:uid="{77D7EFBC-0BE3-4190-88A4-050AFEEE10A7}" name="Department Name"/>
    <tableColumn id="3" xr3:uid="{1E898B3F-7D0A-43C0-8D3A-9D64CEDD5136}" name="Cost Center Code"/>
    <tableColumn id="4" xr3:uid="{6CAAD478-AAC8-4A1C-894B-9D9488540299}" name="Budget Owner"/>
    <tableColumn id="5" xr3:uid="{7662DE13-5D05-4AA7-92A9-E61916951533}" name="Annual Budget (BDT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84E2A1-23BD-43E7-8A80-FFE3B83262DA}" name="Table6" displayName="Table6" ref="B2:I367" totalsRowShown="0" headerRowDxfId="0" dataDxfId="1" headerRowBorderDxfId="11" tableBorderDxfId="12" totalsRowBorderDxfId="10">
  <autoFilter ref="B2:I367" xr:uid="{2984E2A1-23BD-43E7-8A80-FFE3B83262DA}"/>
  <tableColumns count="8">
    <tableColumn id="1" xr3:uid="{8B413CCD-65AC-40DB-9448-300F85BE309A}" name="Date" dataDxfId="9"/>
    <tableColumn id="2" xr3:uid="{16B29A33-BF26-46D2-883B-FA6616B7706F}" name="Year" dataDxfId="8">
      <calculatedColumnFormula>YEAR(B3)</calculatedColumnFormula>
    </tableColumn>
    <tableColumn id="3" xr3:uid="{9E26F21B-1AD8-4DA2-9D90-120F1671D5AF}" name="Quarter" dataDxfId="7">
      <calculatedColumnFormula>ROUNDUP(MONTH(B3)/3,0)</calculatedColumnFormula>
    </tableColumn>
    <tableColumn id="4" xr3:uid="{BDF79147-1639-43F0-AA31-B98A3C0736EA}" name="Month Number" dataDxfId="6">
      <calculatedColumnFormula>MONTH(B3)</calculatedColumnFormula>
    </tableColumn>
    <tableColumn id="5" xr3:uid="{F85AADD8-DC9E-4C49-86A0-439BF1C651D9}" name="Month Name" dataDxfId="5">
      <calculatedColumnFormula>TEXT(B3,"mmmm")</calculatedColumnFormula>
    </tableColumn>
    <tableColumn id="6" xr3:uid="{F7A64A38-A3B6-4699-B399-84965B06D017}" name="Week Number" dataDxfId="4">
      <calculatedColumnFormula>WEEKNUM(B3,1)</calculatedColumnFormula>
    </tableColumn>
    <tableColumn id="7" xr3:uid="{94F8D2B4-4D27-4FE8-8A42-3EEEC20BFEF7}" name="Day Name" dataDxfId="3">
      <calculatedColumnFormula>TEXT(B3,"dddd")</calculatedColumnFormula>
    </tableColumn>
    <tableColumn id="8" xr3:uid="{4364F332-82D5-41CA-887F-2B2524EDFE86}" name="Is Weekend" dataDxfId="2">
      <calculatedColumnFormula>IF(OR(WEEKDAY(B3)=6,WEEKDAY(B3)=7),"Y","N")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4"/>
  <sheetViews>
    <sheetView showGridLines="0" tabSelected="1" zoomScaleNormal="100" workbookViewId="0">
      <selection activeCell="E15" sqref="E15"/>
    </sheetView>
  </sheetViews>
  <sheetFormatPr defaultColWidth="8.7265625" defaultRowHeight="14.5" x14ac:dyDescent="0.35"/>
  <cols>
    <col min="1" max="1" width="3" customWidth="1"/>
    <col min="2" max="2" width="12" customWidth="1"/>
    <col min="3" max="3" width="22" customWidth="1"/>
    <col min="4" max="4" width="16" customWidth="1"/>
    <col min="5" max="5" width="12" customWidth="1"/>
    <col min="6" max="6" width="16" customWidth="1"/>
    <col min="7" max="7" width="15.81640625" customWidth="1"/>
    <col min="8" max="8" width="15.08984375" customWidth="1"/>
    <col min="9" max="9" width="23.90625" customWidth="1"/>
    <col min="10" max="10" width="17.08984375" customWidth="1"/>
  </cols>
  <sheetData>
    <row r="1" spans="2:10" ht="30" customHeight="1" x14ac:dyDescent="0.35">
      <c r="B1" s="18" t="s">
        <v>3</v>
      </c>
      <c r="C1" s="19" t="s">
        <v>69</v>
      </c>
      <c r="D1" s="19" t="s">
        <v>70</v>
      </c>
      <c r="E1" s="19" t="s">
        <v>71</v>
      </c>
      <c r="F1" s="19" t="s">
        <v>72</v>
      </c>
      <c r="G1" s="19" t="s">
        <v>73</v>
      </c>
      <c r="H1" s="19" t="s">
        <v>74</v>
      </c>
      <c r="I1" s="19" t="s">
        <v>75</v>
      </c>
      <c r="J1" s="20" t="s">
        <v>76</v>
      </c>
    </row>
    <row r="2" spans="2:10" x14ac:dyDescent="0.35">
      <c r="B2" s="14" t="s">
        <v>20</v>
      </c>
      <c r="C2" s="1" t="s">
        <v>77</v>
      </c>
      <c r="D2" s="1" t="s">
        <v>78</v>
      </c>
      <c r="E2" s="1" t="s">
        <v>79</v>
      </c>
      <c r="F2" s="1" t="s">
        <v>80</v>
      </c>
      <c r="G2" s="2">
        <v>45658</v>
      </c>
      <c r="H2" s="2">
        <v>46752</v>
      </c>
      <c r="I2" s="1">
        <v>30</v>
      </c>
      <c r="J2" s="16" t="s">
        <v>17</v>
      </c>
    </row>
    <row r="3" spans="2:10" x14ac:dyDescent="0.35">
      <c r="B3" s="15" t="s">
        <v>24</v>
      </c>
      <c r="C3" s="5" t="s">
        <v>81</v>
      </c>
      <c r="D3" s="5" t="s">
        <v>82</v>
      </c>
      <c r="E3" s="5" t="s">
        <v>83</v>
      </c>
      <c r="F3" s="5" t="s">
        <v>84</v>
      </c>
      <c r="G3" s="6">
        <v>45717</v>
      </c>
      <c r="H3" s="6">
        <v>46387</v>
      </c>
      <c r="I3" s="5">
        <v>45</v>
      </c>
      <c r="J3" s="17" t="s">
        <v>17</v>
      </c>
    </row>
    <row r="4" spans="2:10" x14ac:dyDescent="0.35">
      <c r="B4" s="14" t="s">
        <v>13</v>
      </c>
      <c r="C4" s="1" t="s">
        <v>85</v>
      </c>
      <c r="D4" s="1" t="s">
        <v>86</v>
      </c>
      <c r="E4" s="1" t="s">
        <v>79</v>
      </c>
      <c r="F4" s="1" t="s">
        <v>87</v>
      </c>
      <c r="G4" s="2">
        <v>45444</v>
      </c>
      <c r="H4" s="2">
        <v>46203</v>
      </c>
      <c r="I4" s="1">
        <v>15</v>
      </c>
      <c r="J4" s="16" t="s">
        <v>17</v>
      </c>
    </row>
    <row r="5" spans="2:10" x14ac:dyDescent="0.35">
      <c r="B5" s="15" t="s">
        <v>29</v>
      </c>
      <c r="C5" s="5" t="s">
        <v>88</v>
      </c>
      <c r="D5" s="5" t="s">
        <v>89</v>
      </c>
      <c r="E5" s="5" t="s">
        <v>90</v>
      </c>
      <c r="F5" s="5" t="s">
        <v>84</v>
      </c>
      <c r="G5" s="6">
        <v>45658</v>
      </c>
      <c r="H5" s="6">
        <v>46387</v>
      </c>
      <c r="I5" s="5">
        <v>30</v>
      </c>
      <c r="J5" s="17" t="s">
        <v>17</v>
      </c>
    </row>
    <row r="6" spans="2:10" x14ac:dyDescent="0.35">
      <c r="B6" s="14" t="s">
        <v>34</v>
      </c>
      <c r="C6" s="1" t="s">
        <v>91</v>
      </c>
      <c r="D6" s="1" t="s">
        <v>92</v>
      </c>
      <c r="E6" s="1" t="s">
        <v>79</v>
      </c>
      <c r="F6" s="1" t="s">
        <v>93</v>
      </c>
      <c r="G6" s="2">
        <v>45778</v>
      </c>
      <c r="H6" s="2">
        <v>46142</v>
      </c>
      <c r="I6" s="1">
        <v>30</v>
      </c>
      <c r="J6" s="16" t="s">
        <v>17</v>
      </c>
    </row>
    <row r="7" spans="2:10" x14ac:dyDescent="0.35">
      <c r="B7" s="15" t="s">
        <v>42</v>
      </c>
      <c r="C7" s="5" t="s">
        <v>94</v>
      </c>
      <c r="D7" s="5" t="s">
        <v>78</v>
      </c>
      <c r="E7" s="5" t="s">
        <v>95</v>
      </c>
      <c r="F7" s="5" t="s">
        <v>80</v>
      </c>
      <c r="G7" s="6">
        <v>45292</v>
      </c>
      <c r="H7" s="6">
        <v>46387</v>
      </c>
      <c r="I7" s="5">
        <v>30</v>
      </c>
      <c r="J7" s="17" t="s">
        <v>17</v>
      </c>
    </row>
    <row r="8" spans="2:10" x14ac:dyDescent="0.35">
      <c r="B8" s="21" t="s">
        <v>39</v>
      </c>
      <c r="C8" s="22" t="s">
        <v>96</v>
      </c>
      <c r="D8" s="22" t="s">
        <v>97</v>
      </c>
      <c r="E8" s="22" t="s">
        <v>79</v>
      </c>
      <c r="F8" s="22" t="s">
        <v>93</v>
      </c>
      <c r="G8" s="23">
        <v>45689</v>
      </c>
      <c r="H8" s="23">
        <v>46053</v>
      </c>
      <c r="I8" s="22">
        <v>30</v>
      </c>
      <c r="J8" s="24" t="s">
        <v>37</v>
      </c>
    </row>
    <row r="9" spans="2:10" x14ac:dyDescent="0.35">
      <c r="B9" s="9"/>
      <c r="C9" s="9"/>
      <c r="D9" s="9"/>
      <c r="E9" s="9"/>
      <c r="F9" s="9"/>
      <c r="G9" s="9"/>
      <c r="H9" s="9"/>
      <c r="I9" s="9"/>
      <c r="J9" s="9"/>
    </row>
    <row r="10" spans="2:10" x14ac:dyDescent="0.35">
      <c r="B10" s="9"/>
      <c r="C10" s="9"/>
      <c r="D10" s="9"/>
      <c r="E10" s="9"/>
      <c r="F10" s="9"/>
      <c r="G10" s="9"/>
      <c r="H10" s="9"/>
      <c r="I10" s="9"/>
      <c r="J10" s="9"/>
    </row>
    <row r="11" spans="2:10" x14ac:dyDescent="0.35">
      <c r="B11" s="9"/>
      <c r="C11" s="9"/>
      <c r="D11" s="9"/>
      <c r="E11" s="9"/>
      <c r="F11" s="9"/>
      <c r="G11" s="9"/>
      <c r="H11" s="9"/>
      <c r="I11" s="9"/>
      <c r="J11" s="9"/>
    </row>
    <row r="12" spans="2:10" x14ac:dyDescent="0.35">
      <c r="B12" s="9"/>
      <c r="C12" s="9"/>
      <c r="D12" s="9"/>
      <c r="E12" s="9"/>
      <c r="F12" s="9"/>
      <c r="G12" s="9"/>
      <c r="H12" s="9"/>
      <c r="I12" s="9"/>
      <c r="J12" s="9"/>
    </row>
    <row r="13" spans="2:10" x14ac:dyDescent="0.35">
      <c r="B13" s="9"/>
      <c r="C13" s="9"/>
      <c r="D13" s="9"/>
      <c r="E13" s="9"/>
      <c r="F13" s="9"/>
      <c r="G13" s="9"/>
      <c r="H13" s="9"/>
      <c r="I13" s="9"/>
      <c r="J13" s="9"/>
    </row>
    <row r="14" spans="2:10" x14ac:dyDescent="0.35">
      <c r="E14" t="s">
        <v>151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9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B1" sqref="B1:M39"/>
    </sheetView>
  </sheetViews>
  <sheetFormatPr defaultColWidth="8.7265625" defaultRowHeight="14.5" x14ac:dyDescent="0.35"/>
  <cols>
    <col min="1" max="1" width="3" customWidth="1"/>
    <col min="2" max="2" width="25.81640625" customWidth="1"/>
    <col min="3" max="3" width="10.1796875" customWidth="1"/>
    <col min="4" max="4" width="12.90625" customWidth="1"/>
    <col min="5" max="5" width="12" customWidth="1"/>
    <col min="6" max="6" width="9.1796875" customWidth="1"/>
    <col min="7" max="7" width="9.6328125" customWidth="1"/>
    <col min="8" max="8" width="10.54296875" customWidth="1"/>
    <col min="9" max="9" width="17.90625" customWidth="1"/>
    <col min="10" max="10" width="20.6328125" customWidth="1"/>
    <col min="11" max="11" width="17.36328125" customWidth="1"/>
    <col min="12" max="12" width="22.1796875" bestFit="1" customWidth="1"/>
    <col min="13" max="13" width="16" customWidth="1"/>
  </cols>
  <sheetData>
    <row r="1" spans="2:13" ht="18" customHeight="1" x14ac:dyDescent="0.35">
      <c r="B1" s="18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20" t="s">
        <v>11</v>
      </c>
    </row>
    <row r="2" spans="2:13" x14ac:dyDescent="0.35">
      <c r="B2" s="14" t="s">
        <v>12</v>
      </c>
      <c r="C2" s="1">
        <v>1</v>
      </c>
      <c r="D2" s="2">
        <v>46025</v>
      </c>
      <c r="E2" s="1" t="s">
        <v>13</v>
      </c>
      <c r="F2" s="1" t="s">
        <v>14</v>
      </c>
      <c r="G2" s="1" t="s">
        <v>15</v>
      </c>
      <c r="H2" s="1">
        <v>20</v>
      </c>
      <c r="I2" s="3">
        <v>95185.18</v>
      </c>
      <c r="J2" s="4">
        <f t="shared" ref="J2:J39" si="0">H2*I2</f>
        <v>1903703.5999999999</v>
      </c>
      <c r="K2" s="1" t="s">
        <v>16</v>
      </c>
      <c r="L2" s="1" t="s">
        <v>17</v>
      </c>
      <c r="M2" s="16" t="s">
        <v>18</v>
      </c>
    </row>
    <row r="3" spans="2:13" x14ac:dyDescent="0.35">
      <c r="B3" s="15" t="s">
        <v>19</v>
      </c>
      <c r="C3" s="5">
        <v>1</v>
      </c>
      <c r="D3" s="6">
        <v>46030</v>
      </c>
      <c r="E3" s="5" t="s">
        <v>20</v>
      </c>
      <c r="F3" s="5" t="s">
        <v>21</v>
      </c>
      <c r="G3" s="5" t="s">
        <v>15</v>
      </c>
      <c r="H3" s="5">
        <v>20</v>
      </c>
      <c r="I3" s="7">
        <v>78842.45</v>
      </c>
      <c r="J3" s="8">
        <f t="shared" si="0"/>
        <v>1576849</v>
      </c>
      <c r="K3" s="5" t="s">
        <v>22</v>
      </c>
      <c r="L3" s="5" t="s">
        <v>17</v>
      </c>
      <c r="M3" s="17" t="s">
        <v>18</v>
      </c>
    </row>
    <row r="4" spans="2:13" x14ac:dyDescent="0.35">
      <c r="B4" s="14" t="s">
        <v>23</v>
      </c>
      <c r="C4" s="1">
        <v>1</v>
      </c>
      <c r="D4" s="2">
        <v>46055</v>
      </c>
      <c r="E4" s="1" t="s">
        <v>24</v>
      </c>
      <c r="F4" s="1" t="s">
        <v>25</v>
      </c>
      <c r="G4" s="1" t="s">
        <v>26</v>
      </c>
      <c r="H4" s="1">
        <v>50</v>
      </c>
      <c r="I4" s="3">
        <v>46.18</v>
      </c>
      <c r="J4" s="4">
        <f t="shared" si="0"/>
        <v>2309</v>
      </c>
      <c r="K4" s="1" t="s">
        <v>16</v>
      </c>
      <c r="L4" s="1" t="s">
        <v>17</v>
      </c>
      <c r="M4" s="16" t="s">
        <v>27</v>
      </c>
    </row>
    <row r="5" spans="2:13" x14ac:dyDescent="0.35">
      <c r="B5" s="15" t="s">
        <v>28</v>
      </c>
      <c r="C5" s="5">
        <v>1</v>
      </c>
      <c r="D5" s="6">
        <v>46063</v>
      </c>
      <c r="E5" s="5" t="s">
        <v>29</v>
      </c>
      <c r="F5" s="5" t="s">
        <v>30</v>
      </c>
      <c r="G5" s="5" t="s">
        <v>26</v>
      </c>
      <c r="H5" s="5">
        <v>40</v>
      </c>
      <c r="I5" s="7">
        <v>14479.69</v>
      </c>
      <c r="J5" s="8">
        <f t="shared" si="0"/>
        <v>579187.6</v>
      </c>
      <c r="K5" s="5" t="s">
        <v>16</v>
      </c>
      <c r="L5" s="5" t="s">
        <v>17</v>
      </c>
      <c r="M5" s="17" t="s">
        <v>27</v>
      </c>
    </row>
    <row r="6" spans="2:13" x14ac:dyDescent="0.35">
      <c r="B6" s="14" t="s">
        <v>31</v>
      </c>
      <c r="C6" s="1">
        <v>1</v>
      </c>
      <c r="D6" s="2">
        <v>46088</v>
      </c>
      <c r="E6" s="1" t="s">
        <v>20</v>
      </c>
      <c r="F6" s="1" t="s">
        <v>21</v>
      </c>
      <c r="G6" s="1" t="s">
        <v>32</v>
      </c>
      <c r="H6" s="1">
        <v>50</v>
      </c>
      <c r="I6" s="3">
        <v>75183.23</v>
      </c>
      <c r="J6" s="4">
        <f t="shared" si="0"/>
        <v>3759161.5</v>
      </c>
      <c r="K6" s="1" t="s">
        <v>22</v>
      </c>
      <c r="L6" s="1" t="s">
        <v>17</v>
      </c>
      <c r="M6" s="16" t="s">
        <v>18</v>
      </c>
    </row>
    <row r="7" spans="2:13" x14ac:dyDescent="0.35">
      <c r="B7" s="15" t="s">
        <v>33</v>
      </c>
      <c r="C7" s="5">
        <v>1</v>
      </c>
      <c r="D7" s="6">
        <v>46138</v>
      </c>
      <c r="E7" s="5" t="s">
        <v>34</v>
      </c>
      <c r="F7" s="5" t="s">
        <v>35</v>
      </c>
      <c r="G7" s="5" t="s">
        <v>26</v>
      </c>
      <c r="H7" s="5">
        <v>15</v>
      </c>
      <c r="I7" s="7">
        <v>316.47000000000003</v>
      </c>
      <c r="J7" s="8">
        <f t="shared" si="0"/>
        <v>4747.05</v>
      </c>
      <c r="K7" s="5" t="s">
        <v>16</v>
      </c>
      <c r="L7" s="5" t="s">
        <v>17</v>
      </c>
      <c r="M7" s="17" t="s">
        <v>27</v>
      </c>
    </row>
    <row r="8" spans="2:13" x14ac:dyDescent="0.35">
      <c r="B8" s="14" t="s">
        <v>36</v>
      </c>
      <c r="C8" s="1">
        <v>1</v>
      </c>
      <c r="D8" s="2">
        <v>46152</v>
      </c>
      <c r="E8" s="1" t="s">
        <v>34</v>
      </c>
      <c r="F8" s="1" t="s">
        <v>35</v>
      </c>
      <c r="G8" s="1" t="s">
        <v>15</v>
      </c>
      <c r="H8" s="1">
        <v>15</v>
      </c>
      <c r="I8" s="3">
        <v>334.34</v>
      </c>
      <c r="J8" s="4">
        <f t="shared" si="0"/>
        <v>5015.0999999999995</v>
      </c>
      <c r="K8" s="1" t="s">
        <v>16</v>
      </c>
      <c r="L8" s="1" t="s">
        <v>37</v>
      </c>
      <c r="M8" s="16" t="s">
        <v>18</v>
      </c>
    </row>
    <row r="9" spans="2:13" x14ac:dyDescent="0.35">
      <c r="B9" s="15" t="s">
        <v>38</v>
      </c>
      <c r="C9" s="5">
        <v>1</v>
      </c>
      <c r="D9" s="6">
        <v>46187</v>
      </c>
      <c r="E9" s="5" t="s">
        <v>39</v>
      </c>
      <c r="F9" s="5" t="s">
        <v>40</v>
      </c>
      <c r="G9" s="5" t="s">
        <v>15</v>
      </c>
      <c r="H9" s="5">
        <v>5</v>
      </c>
      <c r="I9" s="7">
        <v>26783.13</v>
      </c>
      <c r="J9" s="8">
        <f t="shared" si="0"/>
        <v>133915.65</v>
      </c>
      <c r="K9" s="5" t="s">
        <v>16</v>
      </c>
      <c r="L9" s="5" t="s">
        <v>17</v>
      </c>
      <c r="M9" s="17" t="s">
        <v>27</v>
      </c>
    </row>
    <row r="10" spans="2:13" x14ac:dyDescent="0.35">
      <c r="B10" s="14" t="s">
        <v>41</v>
      </c>
      <c r="C10" s="1">
        <v>1</v>
      </c>
      <c r="D10" s="2">
        <v>46199</v>
      </c>
      <c r="E10" s="1" t="s">
        <v>42</v>
      </c>
      <c r="F10" s="1" t="s">
        <v>43</v>
      </c>
      <c r="G10" s="1" t="s">
        <v>32</v>
      </c>
      <c r="H10" s="1">
        <v>50</v>
      </c>
      <c r="I10" s="3">
        <v>486.99</v>
      </c>
      <c r="J10" s="4">
        <f t="shared" si="0"/>
        <v>24349.5</v>
      </c>
      <c r="K10" s="1" t="s">
        <v>16</v>
      </c>
      <c r="L10" s="1" t="s">
        <v>17</v>
      </c>
      <c r="M10" s="16" t="s">
        <v>27</v>
      </c>
    </row>
    <row r="11" spans="2:13" x14ac:dyDescent="0.35">
      <c r="B11" s="15" t="s">
        <v>44</v>
      </c>
      <c r="C11" s="5">
        <v>1</v>
      </c>
      <c r="D11" s="6">
        <v>46213</v>
      </c>
      <c r="E11" s="5" t="s">
        <v>29</v>
      </c>
      <c r="F11" s="5" t="s">
        <v>30</v>
      </c>
      <c r="G11" s="5" t="s">
        <v>32</v>
      </c>
      <c r="H11" s="5">
        <v>2</v>
      </c>
      <c r="I11" s="7">
        <v>15675.76</v>
      </c>
      <c r="J11" s="8">
        <f t="shared" si="0"/>
        <v>31351.52</v>
      </c>
      <c r="K11" s="5" t="s">
        <v>16</v>
      </c>
      <c r="L11" s="5" t="s">
        <v>37</v>
      </c>
      <c r="M11" s="17" t="s">
        <v>27</v>
      </c>
    </row>
    <row r="12" spans="2:13" x14ac:dyDescent="0.35">
      <c r="B12" s="14" t="s">
        <v>45</v>
      </c>
      <c r="C12" s="1">
        <v>1</v>
      </c>
      <c r="D12" s="2">
        <v>46238</v>
      </c>
      <c r="E12" s="1" t="s">
        <v>20</v>
      </c>
      <c r="F12" s="1" t="s">
        <v>21</v>
      </c>
      <c r="G12" s="1" t="s">
        <v>32</v>
      </c>
      <c r="H12" s="1">
        <v>15</v>
      </c>
      <c r="I12" s="3">
        <v>76289.929999999993</v>
      </c>
      <c r="J12" s="4">
        <f t="shared" si="0"/>
        <v>1144348.95</v>
      </c>
      <c r="K12" s="1" t="s">
        <v>16</v>
      </c>
      <c r="L12" s="1" t="s">
        <v>17</v>
      </c>
      <c r="M12" s="16" t="s">
        <v>27</v>
      </c>
    </row>
    <row r="13" spans="2:13" x14ac:dyDescent="0.35">
      <c r="B13" s="15" t="s">
        <v>46</v>
      </c>
      <c r="C13" s="5">
        <v>1</v>
      </c>
      <c r="D13" s="6">
        <v>46281</v>
      </c>
      <c r="E13" s="5" t="s">
        <v>24</v>
      </c>
      <c r="F13" s="5" t="s">
        <v>25</v>
      </c>
      <c r="G13" s="5" t="s">
        <v>15</v>
      </c>
      <c r="H13" s="5">
        <v>20</v>
      </c>
      <c r="I13" s="7">
        <v>45.04</v>
      </c>
      <c r="J13" s="8">
        <f t="shared" si="0"/>
        <v>900.8</v>
      </c>
      <c r="K13" s="5" t="s">
        <v>16</v>
      </c>
      <c r="L13" s="5" t="s">
        <v>37</v>
      </c>
      <c r="M13" s="17" t="s">
        <v>18</v>
      </c>
    </row>
    <row r="14" spans="2:13" x14ac:dyDescent="0.35">
      <c r="B14" s="14" t="s">
        <v>47</v>
      </c>
      <c r="C14" s="1">
        <v>1</v>
      </c>
      <c r="D14" s="2">
        <v>46283</v>
      </c>
      <c r="E14" s="1" t="s">
        <v>34</v>
      </c>
      <c r="F14" s="1" t="s">
        <v>35</v>
      </c>
      <c r="G14" s="1" t="s">
        <v>48</v>
      </c>
      <c r="H14" s="1">
        <v>5</v>
      </c>
      <c r="I14" s="3">
        <v>338.08</v>
      </c>
      <c r="J14" s="4">
        <f t="shared" si="0"/>
        <v>1690.3999999999999</v>
      </c>
      <c r="K14" s="1" t="s">
        <v>22</v>
      </c>
      <c r="L14" s="1" t="s">
        <v>17</v>
      </c>
      <c r="M14" s="16" t="s">
        <v>18</v>
      </c>
    </row>
    <row r="15" spans="2:13" x14ac:dyDescent="0.35">
      <c r="B15" s="15" t="s">
        <v>49</v>
      </c>
      <c r="C15" s="5">
        <v>1</v>
      </c>
      <c r="D15" s="6">
        <v>46303</v>
      </c>
      <c r="E15" s="5" t="s">
        <v>24</v>
      </c>
      <c r="F15" s="5" t="s">
        <v>25</v>
      </c>
      <c r="G15" s="5" t="s">
        <v>26</v>
      </c>
      <c r="H15" s="5">
        <v>3</v>
      </c>
      <c r="I15" s="7">
        <v>43.78</v>
      </c>
      <c r="J15" s="8">
        <f t="shared" si="0"/>
        <v>131.34</v>
      </c>
      <c r="K15" s="5" t="s">
        <v>16</v>
      </c>
      <c r="L15" s="5" t="s">
        <v>37</v>
      </c>
      <c r="M15" s="17" t="s">
        <v>18</v>
      </c>
    </row>
    <row r="16" spans="2:13" x14ac:dyDescent="0.35">
      <c r="B16" s="14" t="s">
        <v>50</v>
      </c>
      <c r="C16" s="1">
        <v>1</v>
      </c>
      <c r="D16" s="2">
        <v>46344</v>
      </c>
      <c r="E16" s="1" t="s">
        <v>13</v>
      </c>
      <c r="F16" s="1" t="s">
        <v>51</v>
      </c>
      <c r="G16" s="1" t="s">
        <v>48</v>
      </c>
      <c r="H16" s="1">
        <v>2</v>
      </c>
      <c r="I16" s="3">
        <v>17925.349999999999</v>
      </c>
      <c r="J16" s="4">
        <f t="shared" si="0"/>
        <v>35850.699999999997</v>
      </c>
      <c r="K16" s="1" t="s">
        <v>16</v>
      </c>
      <c r="L16" s="1" t="s">
        <v>17</v>
      </c>
      <c r="M16" s="16" t="s">
        <v>18</v>
      </c>
    </row>
    <row r="17" spans="2:13" x14ac:dyDescent="0.35">
      <c r="B17" s="15" t="s">
        <v>52</v>
      </c>
      <c r="C17" s="5">
        <v>1</v>
      </c>
      <c r="D17" s="6">
        <v>46360</v>
      </c>
      <c r="E17" s="5" t="s">
        <v>29</v>
      </c>
      <c r="F17" s="5" t="s">
        <v>30</v>
      </c>
      <c r="G17" s="5" t="s">
        <v>32</v>
      </c>
      <c r="H17" s="5">
        <v>20</v>
      </c>
      <c r="I17" s="7">
        <v>15028.01</v>
      </c>
      <c r="J17" s="8">
        <f t="shared" si="0"/>
        <v>300560.2</v>
      </c>
      <c r="K17" s="5" t="s">
        <v>22</v>
      </c>
      <c r="L17" s="5" t="s">
        <v>17</v>
      </c>
      <c r="M17" s="17" t="s">
        <v>18</v>
      </c>
    </row>
    <row r="18" spans="2:13" x14ac:dyDescent="0.35">
      <c r="B18" s="14" t="s">
        <v>53</v>
      </c>
      <c r="C18" s="1">
        <v>1</v>
      </c>
      <c r="D18" s="2">
        <v>46367</v>
      </c>
      <c r="E18" s="1" t="s">
        <v>20</v>
      </c>
      <c r="F18" s="1" t="s">
        <v>21</v>
      </c>
      <c r="G18" s="1" t="s">
        <v>15</v>
      </c>
      <c r="H18" s="1">
        <v>25</v>
      </c>
      <c r="I18" s="3">
        <v>76231.3</v>
      </c>
      <c r="J18" s="4">
        <f t="shared" si="0"/>
        <v>1905782.5</v>
      </c>
      <c r="K18" s="1" t="s">
        <v>16</v>
      </c>
      <c r="L18" s="1" t="s">
        <v>17</v>
      </c>
      <c r="M18" s="16" t="s">
        <v>18</v>
      </c>
    </row>
    <row r="19" spans="2:13" x14ac:dyDescent="0.35">
      <c r="B19" s="15" t="s">
        <v>54</v>
      </c>
      <c r="C19" s="5">
        <v>1</v>
      </c>
      <c r="D19" s="6">
        <v>46084</v>
      </c>
      <c r="E19" s="5" t="s">
        <v>34</v>
      </c>
      <c r="F19" s="5" t="s">
        <v>35</v>
      </c>
      <c r="G19" s="5" t="s">
        <v>26</v>
      </c>
      <c r="H19" s="5">
        <v>15</v>
      </c>
      <c r="I19" s="7">
        <v>329.53</v>
      </c>
      <c r="J19" s="8">
        <f t="shared" si="0"/>
        <v>4942.95</v>
      </c>
      <c r="K19" s="5" t="s">
        <v>22</v>
      </c>
      <c r="L19" s="5" t="s">
        <v>17</v>
      </c>
      <c r="M19" s="17" t="s">
        <v>27</v>
      </c>
    </row>
    <row r="20" spans="2:13" x14ac:dyDescent="0.35">
      <c r="B20" s="14" t="s">
        <v>55</v>
      </c>
      <c r="C20" s="1">
        <v>1</v>
      </c>
      <c r="D20" s="2">
        <v>46158</v>
      </c>
      <c r="E20" s="1" t="s">
        <v>13</v>
      </c>
      <c r="F20" s="1" t="s">
        <v>51</v>
      </c>
      <c r="G20" s="1" t="s">
        <v>32</v>
      </c>
      <c r="H20" s="1">
        <v>25</v>
      </c>
      <c r="I20" s="3">
        <v>17870.439999999999</v>
      </c>
      <c r="J20" s="4">
        <f t="shared" si="0"/>
        <v>446760.99999999994</v>
      </c>
      <c r="K20" s="1" t="s">
        <v>22</v>
      </c>
      <c r="L20" s="1" t="s">
        <v>37</v>
      </c>
      <c r="M20" s="16" t="s">
        <v>27</v>
      </c>
    </row>
    <row r="21" spans="2:13" x14ac:dyDescent="0.35">
      <c r="B21" s="15" t="s">
        <v>56</v>
      </c>
      <c r="C21" s="5">
        <v>1</v>
      </c>
      <c r="D21" s="6">
        <v>46227</v>
      </c>
      <c r="E21" s="5" t="s">
        <v>20</v>
      </c>
      <c r="F21" s="5" t="s">
        <v>21</v>
      </c>
      <c r="G21" s="5" t="s">
        <v>48</v>
      </c>
      <c r="H21" s="5">
        <v>3</v>
      </c>
      <c r="I21" s="7">
        <v>82225.42</v>
      </c>
      <c r="J21" s="8">
        <f t="shared" si="0"/>
        <v>246676.26</v>
      </c>
      <c r="K21" s="5" t="s">
        <v>22</v>
      </c>
      <c r="L21" s="5" t="s">
        <v>17</v>
      </c>
      <c r="M21" s="17" t="s">
        <v>18</v>
      </c>
    </row>
    <row r="22" spans="2:13" x14ac:dyDescent="0.35">
      <c r="B22" s="14" t="s">
        <v>57</v>
      </c>
      <c r="C22" s="1">
        <v>1</v>
      </c>
      <c r="D22" s="2">
        <v>46235</v>
      </c>
      <c r="E22" s="1" t="s">
        <v>24</v>
      </c>
      <c r="F22" s="1" t="s">
        <v>58</v>
      </c>
      <c r="G22" s="1" t="s">
        <v>48</v>
      </c>
      <c r="H22" s="1">
        <v>5</v>
      </c>
      <c r="I22" s="3">
        <v>1299.6400000000001</v>
      </c>
      <c r="J22" s="4">
        <f t="shared" si="0"/>
        <v>6498.2000000000007</v>
      </c>
      <c r="K22" s="1" t="s">
        <v>16</v>
      </c>
      <c r="L22" s="1" t="s">
        <v>17</v>
      </c>
      <c r="M22" s="16" t="s">
        <v>27</v>
      </c>
    </row>
    <row r="23" spans="2:13" x14ac:dyDescent="0.35">
      <c r="B23" s="15" t="s">
        <v>59</v>
      </c>
      <c r="C23" s="5">
        <v>1</v>
      </c>
      <c r="D23" s="6">
        <v>46320</v>
      </c>
      <c r="E23" s="5" t="s">
        <v>24</v>
      </c>
      <c r="F23" s="5" t="s">
        <v>58</v>
      </c>
      <c r="G23" s="5" t="s">
        <v>48</v>
      </c>
      <c r="H23" s="5">
        <v>8</v>
      </c>
      <c r="I23" s="7">
        <v>1274.05</v>
      </c>
      <c r="J23" s="8">
        <f t="shared" si="0"/>
        <v>10192.4</v>
      </c>
      <c r="K23" s="5" t="s">
        <v>16</v>
      </c>
      <c r="L23" s="5" t="s">
        <v>17</v>
      </c>
      <c r="M23" s="17" t="s">
        <v>18</v>
      </c>
    </row>
    <row r="24" spans="2:13" x14ac:dyDescent="0.35">
      <c r="B24" s="14" t="s">
        <v>60</v>
      </c>
      <c r="C24" s="1">
        <v>1</v>
      </c>
      <c r="D24" s="2">
        <v>46342</v>
      </c>
      <c r="E24" s="1" t="s">
        <v>39</v>
      </c>
      <c r="F24" s="1" t="s">
        <v>40</v>
      </c>
      <c r="G24" s="1" t="s">
        <v>48</v>
      </c>
      <c r="H24" s="1">
        <v>8</v>
      </c>
      <c r="I24" s="3">
        <v>24399.73</v>
      </c>
      <c r="J24" s="4">
        <f t="shared" si="0"/>
        <v>195197.84</v>
      </c>
      <c r="K24" s="1" t="s">
        <v>16</v>
      </c>
      <c r="L24" s="1" t="s">
        <v>17</v>
      </c>
      <c r="M24" s="16" t="s">
        <v>27</v>
      </c>
    </row>
    <row r="25" spans="2:13" x14ac:dyDescent="0.35">
      <c r="B25" s="15" t="s">
        <v>61</v>
      </c>
      <c r="C25" s="5">
        <v>1</v>
      </c>
      <c r="D25" s="6">
        <v>46124</v>
      </c>
      <c r="E25" s="5" t="s">
        <v>29</v>
      </c>
      <c r="F25" s="5" t="s">
        <v>30</v>
      </c>
      <c r="G25" s="5" t="s">
        <v>32</v>
      </c>
      <c r="H25" s="5">
        <v>8</v>
      </c>
      <c r="I25" s="7">
        <v>15600.42</v>
      </c>
      <c r="J25" s="8">
        <f t="shared" si="0"/>
        <v>124803.36</v>
      </c>
      <c r="K25" s="5" t="s">
        <v>16</v>
      </c>
      <c r="L25" s="5" t="s">
        <v>17</v>
      </c>
      <c r="M25" s="17" t="s">
        <v>18</v>
      </c>
    </row>
    <row r="26" spans="2:13" x14ac:dyDescent="0.35">
      <c r="B26" s="14" t="s">
        <v>62</v>
      </c>
      <c r="C26" s="1">
        <v>1</v>
      </c>
      <c r="D26" s="2">
        <v>46184</v>
      </c>
      <c r="E26" s="1" t="s">
        <v>24</v>
      </c>
      <c r="F26" s="1" t="s">
        <v>25</v>
      </c>
      <c r="G26" s="1" t="s">
        <v>26</v>
      </c>
      <c r="H26" s="1">
        <v>8</v>
      </c>
      <c r="I26" s="3">
        <v>45.5</v>
      </c>
      <c r="J26" s="4">
        <f t="shared" si="0"/>
        <v>364</v>
      </c>
      <c r="K26" s="1" t="s">
        <v>22</v>
      </c>
      <c r="L26" s="1" t="s">
        <v>17</v>
      </c>
      <c r="M26" s="16" t="s">
        <v>18</v>
      </c>
    </row>
    <row r="27" spans="2:13" x14ac:dyDescent="0.35">
      <c r="B27" s="15" t="s">
        <v>63</v>
      </c>
      <c r="C27" s="5">
        <v>1</v>
      </c>
      <c r="D27" s="6">
        <v>46269</v>
      </c>
      <c r="E27" s="5" t="s">
        <v>42</v>
      </c>
      <c r="F27" s="5" t="s">
        <v>43</v>
      </c>
      <c r="G27" s="5" t="s">
        <v>32</v>
      </c>
      <c r="H27" s="5">
        <v>3</v>
      </c>
      <c r="I27" s="7">
        <v>508.08</v>
      </c>
      <c r="J27" s="8">
        <f t="shared" si="0"/>
        <v>1524.24</v>
      </c>
      <c r="K27" s="5" t="s">
        <v>16</v>
      </c>
      <c r="L27" s="5" t="s">
        <v>37</v>
      </c>
      <c r="M27" s="17" t="s">
        <v>18</v>
      </c>
    </row>
    <row r="28" spans="2:13" x14ac:dyDescent="0.35">
      <c r="B28" s="14" t="s">
        <v>64</v>
      </c>
      <c r="C28" s="1">
        <v>1</v>
      </c>
      <c r="D28" s="2">
        <v>46380</v>
      </c>
      <c r="E28" s="1" t="s">
        <v>29</v>
      </c>
      <c r="F28" s="1" t="s">
        <v>30</v>
      </c>
      <c r="G28" s="1" t="s">
        <v>32</v>
      </c>
      <c r="H28" s="1">
        <v>3</v>
      </c>
      <c r="I28" s="3">
        <v>15811.61</v>
      </c>
      <c r="J28" s="4">
        <f t="shared" si="0"/>
        <v>47434.83</v>
      </c>
      <c r="K28" s="1" t="s">
        <v>22</v>
      </c>
      <c r="L28" s="1" t="s">
        <v>37</v>
      </c>
      <c r="M28" s="16" t="s">
        <v>18</v>
      </c>
    </row>
    <row r="29" spans="2:13" x14ac:dyDescent="0.35">
      <c r="B29" s="15" t="s">
        <v>65</v>
      </c>
      <c r="C29" s="5">
        <v>1</v>
      </c>
      <c r="D29" s="6">
        <v>46054</v>
      </c>
      <c r="E29" s="5" t="s">
        <v>42</v>
      </c>
      <c r="F29" s="5" t="s">
        <v>66</v>
      </c>
      <c r="G29" s="5" t="s">
        <v>26</v>
      </c>
      <c r="H29" s="5">
        <v>5</v>
      </c>
      <c r="I29" s="7">
        <v>669.04</v>
      </c>
      <c r="J29" s="8">
        <f t="shared" si="0"/>
        <v>3345.2</v>
      </c>
      <c r="K29" s="5" t="s">
        <v>22</v>
      </c>
      <c r="L29" s="5" t="s">
        <v>17</v>
      </c>
      <c r="M29" s="17" t="s">
        <v>18</v>
      </c>
    </row>
    <row r="30" spans="2:13" x14ac:dyDescent="0.35">
      <c r="B30" s="14" t="s">
        <v>67</v>
      </c>
      <c r="C30" s="1">
        <v>1</v>
      </c>
      <c r="D30" s="2">
        <v>46147</v>
      </c>
      <c r="E30" s="1" t="s">
        <v>42</v>
      </c>
      <c r="F30" s="1" t="s">
        <v>43</v>
      </c>
      <c r="G30" s="1" t="s">
        <v>15</v>
      </c>
      <c r="H30" s="1">
        <v>5</v>
      </c>
      <c r="I30" s="3">
        <v>490.24</v>
      </c>
      <c r="J30" s="4">
        <f t="shared" si="0"/>
        <v>2451.1999999999998</v>
      </c>
      <c r="K30" s="1" t="s">
        <v>16</v>
      </c>
      <c r="L30" s="1" t="s">
        <v>17</v>
      </c>
      <c r="M30" s="16" t="s">
        <v>18</v>
      </c>
    </row>
    <row r="31" spans="2:13" x14ac:dyDescent="0.35">
      <c r="B31" s="15" t="s">
        <v>68</v>
      </c>
      <c r="C31" s="5">
        <v>1</v>
      </c>
      <c r="D31" s="6">
        <v>46241</v>
      </c>
      <c r="E31" s="5" t="s">
        <v>29</v>
      </c>
      <c r="F31" s="5" t="s">
        <v>30</v>
      </c>
      <c r="G31" s="5" t="s">
        <v>48</v>
      </c>
      <c r="H31" s="5">
        <v>8</v>
      </c>
      <c r="I31" s="7">
        <v>14304.59</v>
      </c>
      <c r="J31" s="8">
        <f t="shared" si="0"/>
        <v>114436.72</v>
      </c>
      <c r="K31" s="5" t="s">
        <v>16</v>
      </c>
      <c r="L31" s="5" t="s">
        <v>17</v>
      </c>
      <c r="M31" s="17" t="s">
        <v>27</v>
      </c>
    </row>
    <row r="32" spans="2:13" x14ac:dyDescent="0.35">
      <c r="B32" s="25"/>
      <c r="C32" s="9"/>
      <c r="D32" s="9"/>
      <c r="E32" s="9"/>
      <c r="F32" s="9"/>
      <c r="G32" s="9"/>
      <c r="H32" s="9"/>
      <c r="I32" s="9"/>
      <c r="J32" s="10">
        <f t="shared" si="0"/>
        <v>0</v>
      </c>
      <c r="K32" s="9"/>
      <c r="L32" s="9"/>
      <c r="M32" s="26"/>
    </row>
    <row r="33" spans="2:13" x14ac:dyDescent="0.35">
      <c r="B33" s="25"/>
      <c r="C33" s="9"/>
      <c r="D33" s="9"/>
      <c r="E33" s="9"/>
      <c r="F33" s="9"/>
      <c r="G33" s="9"/>
      <c r="H33" s="9"/>
      <c r="I33" s="9"/>
      <c r="J33" s="10">
        <f t="shared" si="0"/>
        <v>0</v>
      </c>
      <c r="K33" s="9"/>
      <c r="L33" s="9"/>
      <c r="M33" s="26"/>
    </row>
    <row r="34" spans="2:13" x14ac:dyDescent="0.35">
      <c r="B34" s="25"/>
      <c r="C34" s="9"/>
      <c r="D34" s="9"/>
      <c r="E34" s="9"/>
      <c r="F34" s="9"/>
      <c r="G34" s="9"/>
      <c r="H34" s="9"/>
      <c r="I34" s="9"/>
      <c r="J34" s="10">
        <f t="shared" si="0"/>
        <v>0</v>
      </c>
      <c r="K34" s="9"/>
      <c r="L34" s="9"/>
      <c r="M34" s="26"/>
    </row>
    <row r="35" spans="2:13" x14ac:dyDescent="0.35">
      <c r="B35" s="25"/>
      <c r="C35" s="9"/>
      <c r="D35" s="9"/>
      <c r="E35" s="9"/>
      <c r="F35" s="9"/>
      <c r="G35" s="9"/>
      <c r="H35" s="9"/>
      <c r="I35" s="9"/>
      <c r="J35" s="10">
        <f t="shared" si="0"/>
        <v>0</v>
      </c>
      <c r="K35" s="9"/>
      <c r="L35" s="9"/>
      <c r="M35" s="26"/>
    </row>
    <row r="36" spans="2:13" x14ac:dyDescent="0.35">
      <c r="B36" s="25"/>
      <c r="C36" s="9"/>
      <c r="D36" s="9"/>
      <c r="E36" s="9"/>
      <c r="F36" s="9"/>
      <c r="G36" s="9"/>
      <c r="H36" s="9"/>
      <c r="I36" s="9"/>
      <c r="J36" s="10">
        <f t="shared" si="0"/>
        <v>0</v>
      </c>
      <c r="K36" s="9"/>
      <c r="L36" s="9"/>
      <c r="M36" s="26"/>
    </row>
    <row r="37" spans="2:13" x14ac:dyDescent="0.35">
      <c r="B37" s="25"/>
      <c r="C37" s="9"/>
      <c r="D37" s="9"/>
      <c r="E37" s="9"/>
      <c r="F37" s="9"/>
      <c r="G37" s="9"/>
      <c r="H37" s="9"/>
      <c r="I37" s="9"/>
      <c r="J37" s="10">
        <f t="shared" si="0"/>
        <v>0</v>
      </c>
      <c r="K37" s="9"/>
      <c r="L37" s="9"/>
      <c r="M37" s="26"/>
    </row>
    <row r="38" spans="2:13" x14ac:dyDescent="0.35">
      <c r="B38" s="25"/>
      <c r="C38" s="9"/>
      <c r="D38" s="9"/>
      <c r="E38" s="9"/>
      <c r="F38" s="9"/>
      <c r="G38" s="9"/>
      <c r="H38" s="9"/>
      <c r="I38" s="9"/>
      <c r="J38" s="10">
        <f t="shared" si="0"/>
        <v>0</v>
      </c>
      <c r="K38" s="9"/>
      <c r="L38" s="9"/>
      <c r="M38" s="26"/>
    </row>
    <row r="39" spans="2:13" x14ac:dyDescent="0.35">
      <c r="B39" s="27"/>
      <c r="C39" s="28"/>
      <c r="D39" s="28"/>
      <c r="E39" s="28"/>
      <c r="F39" s="28"/>
      <c r="G39" s="28"/>
      <c r="H39" s="28"/>
      <c r="I39" s="28"/>
      <c r="J39" s="29">
        <f t="shared" si="0"/>
        <v>0</v>
      </c>
      <c r="K39" s="28"/>
      <c r="L39" s="28"/>
      <c r="M39" s="30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6"/>
  <sheetViews>
    <sheetView showGridLines="0" zoomScaleNormal="100" workbookViewId="0">
      <selection activeCell="B1" sqref="B1:G11"/>
    </sheetView>
  </sheetViews>
  <sheetFormatPr defaultColWidth="8.7265625" defaultRowHeight="14.5" x14ac:dyDescent="0.35"/>
  <cols>
    <col min="1" max="1" width="3" customWidth="1"/>
    <col min="2" max="2" width="10" customWidth="1"/>
    <col min="3" max="3" width="26" customWidth="1"/>
    <col min="4" max="4" width="16" customWidth="1"/>
    <col min="5" max="5" width="15.54296875" customWidth="1"/>
    <col min="6" max="6" width="10" customWidth="1"/>
    <col min="7" max="7" width="20.81640625" customWidth="1"/>
  </cols>
  <sheetData>
    <row r="1" spans="2:7" ht="18" customHeight="1" x14ac:dyDescent="0.35">
      <c r="B1" s="18" t="s">
        <v>4</v>
      </c>
      <c r="C1" s="19" t="s">
        <v>98</v>
      </c>
      <c r="D1" s="19" t="s">
        <v>70</v>
      </c>
      <c r="E1" s="19" t="s">
        <v>99</v>
      </c>
      <c r="F1" s="19" t="s">
        <v>100</v>
      </c>
      <c r="G1" s="20" t="s">
        <v>101</v>
      </c>
    </row>
    <row r="2" spans="2:7" x14ac:dyDescent="0.35">
      <c r="B2" s="14" t="s">
        <v>21</v>
      </c>
      <c r="C2" s="1" t="s">
        <v>102</v>
      </c>
      <c r="D2" s="1" t="s">
        <v>78</v>
      </c>
      <c r="E2" s="1" t="s">
        <v>103</v>
      </c>
      <c r="F2" s="1" t="s">
        <v>104</v>
      </c>
      <c r="G2" s="31">
        <v>78500</v>
      </c>
    </row>
    <row r="3" spans="2:7" x14ac:dyDescent="0.35">
      <c r="B3" s="15" t="s">
        <v>25</v>
      </c>
      <c r="C3" s="5" t="s">
        <v>105</v>
      </c>
      <c r="D3" s="5" t="s">
        <v>82</v>
      </c>
      <c r="E3" s="5" t="s">
        <v>106</v>
      </c>
      <c r="F3" s="5" t="s">
        <v>107</v>
      </c>
      <c r="G3" s="32">
        <v>45</v>
      </c>
    </row>
    <row r="4" spans="2:7" x14ac:dyDescent="0.35">
      <c r="B4" s="14" t="s">
        <v>14</v>
      </c>
      <c r="C4" s="1" t="s">
        <v>108</v>
      </c>
      <c r="D4" s="1" t="s">
        <v>86</v>
      </c>
      <c r="E4" s="1" t="s">
        <v>109</v>
      </c>
      <c r="F4" s="1" t="s">
        <v>107</v>
      </c>
      <c r="G4" s="31">
        <v>92000</v>
      </c>
    </row>
    <row r="5" spans="2:7" x14ac:dyDescent="0.35">
      <c r="B5" s="15" t="s">
        <v>51</v>
      </c>
      <c r="C5" s="5" t="s">
        <v>110</v>
      </c>
      <c r="D5" s="5" t="s">
        <v>86</v>
      </c>
      <c r="E5" s="5" t="s">
        <v>109</v>
      </c>
      <c r="F5" s="5" t="s">
        <v>107</v>
      </c>
      <c r="G5" s="32">
        <v>18500</v>
      </c>
    </row>
    <row r="6" spans="2:7" x14ac:dyDescent="0.35">
      <c r="B6" s="14" t="s">
        <v>66</v>
      </c>
      <c r="C6" s="1" t="s">
        <v>111</v>
      </c>
      <c r="D6" s="1" t="s">
        <v>78</v>
      </c>
      <c r="E6" s="1" t="s">
        <v>112</v>
      </c>
      <c r="F6" s="1" t="s">
        <v>113</v>
      </c>
      <c r="G6" s="31">
        <v>620</v>
      </c>
    </row>
    <row r="7" spans="2:7" x14ac:dyDescent="0.35">
      <c r="B7" s="15" t="s">
        <v>35</v>
      </c>
      <c r="C7" s="5" t="s">
        <v>114</v>
      </c>
      <c r="D7" s="5" t="s">
        <v>92</v>
      </c>
      <c r="E7" s="5" t="s">
        <v>115</v>
      </c>
      <c r="F7" s="5" t="s">
        <v>116</v>
      </c>
      <c r="G7" s="32">
        <v>320</v>
      </c>
    </row>
    <row r="8" spans="2:7" x14ac:dyDescent="0.35">
      <c r="B8" s="14" t="s">
        <v>30</v>
      </c>
      <c r="C8" s="1" t="s">
        <v>117</v>
      </c>
      <c r="D8" s="1" t="s">
        <v>89</v>
      </c>
      <c r="E8" s="1" t="s">
        <v>118</v>
      </c>
      <c r="F8" s="1" t="s">
        <v>119</v>
      </c>
      <c r="G8" s="31">
        <v>15000</v>
      </c>
    </row>
    <row r="9" spans="2:7" x14ac:dyDescent="0.35">
      <c r="B9" s="15" t="s">
        <v>40</v>
      </c>
      <c r="C9" s="5" t="s">
        <v>120</v>
      </c>
      <c r="D9" s="5" t="s">
        <v>97</v>
      </c>
      <c r="E9" s="5" t="s">
        <v>118</v>
      </c>
      <c r="F9" s="5" t="s">
        <v>121</v>
      </c>
      <c r="G9" s="32">
        <v>25000</v>
      </c>
    </row>
    <row r="10" spans="2:7" x14ac:dyDescent="0.35">
      <c r="B10" s="14" t="s">
        <v>58</v>
      </c>
      <c r="C10" s="1" t="s">
        <v>122</v>
      </c>
      <c r="D10" s="1" t="s">
        <v>82</v>
      </c>
      <c r="E10" s="1" t="s">
        <v>123</v>
      </c>
      <c r="F10" s="1" t="s">
        <v>124</v>
      </c>
      <c r="G10" s="31">
        <v>1250</v>
      </c>
    </row>
    <row r="11" spans="2:7" x14ac:dyDescent="0.35">
      <c r="B11" s="33" t="s">
        <v>43</v>
      </c>
      <c r="C11" s="34" t="s">
        <v>125</v>
      </c>
      <c r="D11" s="34" t="s">
        <v>78</v>
      </c>
      <c r="E11" s="34" t="s">
        <v>112</v>
      </c>
      <c r="F11" s="34" t="s">
        <v>113</v>
      </c>
      <c r="G11" s="35">
        <v>480</v>
      </c>
    </row>
    <row r="12" spans="2:7" x14ac:dyDescent="0.35">
      <c r="B12" s="9"/>
      <c r="C12" s="9"/>
      <c r="D12" s="9"/>
      <c r="E12" s="9"/>
      <c r="F12" s="9"/>
      <c r="G12" s="9"/>
    </row>
    <row r="13" spans="2:7" x14ac:dyDescent="0.35">
      <c r="B13" s="9"/>
      <c r="C13" s="9"/>
      <c r="D13" s="9"/>
      <c r="E13" s="9"/>
      <c r="F13" s="9"/>
      <c r="G13" s="9"/>
    </row>
    <row r="14" spans="2:7" x14ac:dyDescent="0.35">
      <c r="B14" s="9"/>
      <c r="C14" s="9"/>
      <c r="D14" s="9"/>
      <c r="E14" s="9"/>
      <c r="F14" s="9"/>
      <c r="G14" s="9"/>
    </row>
    <row r="15" spans="2:7" x14ac:dyDescent="0.35">
      <c r="B15" s="9"/>
      <c r="C15" s="9"/>
      <c r="D15" s="9"/>
      <c r="E15" s="9"/>
      <c r="F15" s="9"/>
      <c r="G15" s="9"/>
    </row>
    <row r="16" spans="2:7" x14ac:dyDescent="0.35">
      <c r="B16" s="9"/>
      <c r="C16" s="9"/>
      <c r="D16" s="9"/>
      <c r="E16" s="9"/>
      <c r="F16" s="9"/>
      <c r="G16" s="9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9"/>
  <sheetViews>
    <sheetView showGridLines="0" zoomScaleNormal="100" workbookViewId="0">
      <selection activeCell="B1" sqref="B1:F5"/>
    </sheetView>
  </sheetViews>
  <sheetFormatPr defaultColWidth="8.7265625" defaultRowHeight="14.5" x14ac:dyDescent="0.35"/>
  <cols>
    <col min="1" max="1" width="3" customWidth="1"/>
    <col min="2" max="2" width="10" customWidth="1"/>
    <col min="3" max="3" width="20" customWidth="1"/>
    <col min="4" max="4" width="19.36328125" customWidth="1"/>
    <col min="5" max="5" width="18" customWidth="1"/>
    <col min="6" max="6" width="22.6328125" customWidth="1"/>
  </cols>
  <sheetData>
    <row r="1" spans="2:6" ht="28" x14ac:dyDescent="0.35">
      <c r="B1" s="18" t="s">
        <v>5</v>
      </c>
      <c r="C1" s="19" t="s">
        <v>126</v>
      </c>
      <c r="D1" s="19" t="s">
        <v>127</v>
      </c>
      <c r="E1" s="19" t="s">
        <v>128</v>
      </c>
      <c r="F1" s="20" t="s">
        <v>129</v>
      </c>
    </row>
    <row r="2" spans="2:6" x14ac:dyDescent="0.35">
      <c r="B2" s="14" t="s">
        <v>15</v>
      </c>
      <c r="C2" s="1" t="s">
        <v>130</v>
      </c>
      <c r="D2" s="1" t="s">
        <v>131</v>
      </c>
      <c r="E2" s="1" t="s">
        <v>132</v>
      </c>
      <c r="F2" s="31">
        <v>45000000</v>
      </c>
    </row>
    <row r="3" spans="2:6" x14ac:dyDescent="0.35">
      <c r="B3" s="15" t="s">
        <v>26</v>
      </c>
      <c r="C3" s="5" t="s">
        <v>133</v>
      </c>
      <c r="D3" s="5" t="s">
        <v>134</v>
      </c>
      <c r="E3" s="5" t="s">
        <v>135</v>
      </c>
      <c r="F3" s="32">
        <v>12000000</v>
      </c>
    </row>
    <row r="4" spans="2:6" x14ac:dyDescent="0.35">
      <c r="B4" s="14" t="s">
        <v>48</v>
      </c>
      <c r="C4" s="1" t="s">
        <v>136</v>
      </c>
      <c r="D4" s="1" t="s">
        <v>137</v>
      </c>
      <c r="E4" s="1" t="s">
        <v>138</v>
      </c>
      <c r="F4" s="31">
        <v>6000000</v>
      </c>
    </row>
    <row r="5" spans="2:6" x14ac:dyDescent="0.35">
      <c r="B5" s="33" t="s">
        <v>32</v>
      </c>
      <c r="C5" s="34" t="s">
        <v>139</v>
      </c>
      <c r="D5" s="34" t="s">
        <v>140</v>
      </c>
      <c r="E5" s="34" t="s">
        <v>141</v>
      </c>
      <c r="F5" s="35">
        <v>20000000</v>
      </c>
    </row>
    <row r="6" spans="2:6" x14ac:dyDescent="0.35">
      <c r="B6" s="9"/>
      <c r="C6" s="9"/>
      <c r="D6" s="9"/>
      <c r="E6" s="9"/>
      <c r="F6" s="9"/>
    </row>
    <row r="7" spans="2:6" x14ac:dyDescent="0.35">
      <c r="B7" s="9"/>
      <c r="C7" s="9"/>
      <c r="D7" s="9"/>
      <c r="E7" s="9"/>
      <c r="F7" s="9"/>
    </row>
    <row r="8" spans="2:6" x14ac:dyDescent="0.35">
      <c r="B8" s="9"/>
      <c r="C8" s="9"/>
      <c r="D8" s="9"/>
      <c r="E8" s="9"/>
      <c r="F8" s="9"/>
    </row>
    <row r="9" spans="2:6" x14ac:dyDescent="0.35">
      <c r="B9" s="9"/>
      <c r="C9" s="9"/>
      <c r="D9" s="9"/>
      <c r="E9" s="9"/>
      <c r="F9" s="9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69"/>
  <sheetViews>
    <sheetView showGridLines="0" topLeftCell="A2" zoomScaleNormal="100" workbookViewId="0">
      <selection activeCell="B2" sqref="B2:I367"/>
    </sheetView>
  </sheetViews>
  <sheetFormatPr defaultColWidth="8.7265625" defaultRowHeight="14.5" x14ac:dyDescent="0.35"/>
  <cols>
    <col min="1" max="1" width="3" customWidth="1"/>
    <col min="2" max="2" width="12" customWidth="1"/>
    <col min="3" max="3" width="8" customWidth="1"/>
    <col min="4" max="4" width="10" customWidth="1"/>
    <col min="5" max="5" width="16.453125" customWidth="1"/>
    <col min="6" max="6" width="14.453125" customWidth="1"/>
    <col min="7" max="7" width="15.90625" customWidth="1"/>
    <col min="8" max="8" width="12.26953125" customWidth="1"/>
    <col min="9" max="9" width="13.54296875" customWidth="1"/>
  </cols>
  <sheetData>
    <row r="2" spans="2:9" ht="28" x14ac:dyDescent="0.35">
      <c r="B2" s="18" t="s">
        <v>142</v>
      </c>
      <c r="C2" s="19" t="s">
        <v>143</v>
      </c>
      <c r="D2" s="19" t="s">
        <v>144</v>
      </c>
      <c r="E2" s="19" t="s">
        <v>145</v>
      </c>
      <c r="F2" s="19" t="s">
        <v>146</v>
      </c>
      <c r="G2" s="19" t="s">
        <v>147</v>
      </c>
      <c r="H2" s="19" t="s">
        <v>148</v>
      </c>
      <c r="I2" s="20" t="s">
        <v>149</v>
      </c>
    </row>
    <row r="3" spans="2:9" x14ac:dyDescent="0.35">
      <c r="B3" s="36">
        <v>46023</v>
      </c>
      <c r="C3" s="11">
        <f t="shared" ref="C3:C66" si="0">YEAR(B3)</f>
        <v>2026</v>
      </c>
      <c r="D3" s="11">
        <f t="shared" ref="D3:D66" si="1">ROUNDUP(MONTH(B3)/3,0)</f>
        <v>1</v>
      </c>
      <c r="E3" s="11">
        <f t="shared" ref="E3:E66" si="2">MONTH(B3)</f>
        <v>1</v>
      </c>
      <c r="F3" s="11" t="str">
        <f t="shared" ref="F3:F66" si="3">TEXT(B3,"mmmm")</f>
        <v>January</v>
      </c>
      <c r="G3" s="11">
        <f t="shared" ref="G3:G66" si="4">WEEKNUM(B3,1)</f>
        <v>1</v>
      </c>
      <c r="H3" s="11" t="str">
        <f t="shared" ref="H3:H66" si="5">TEXT(B3,"dddd")</f>
        <v>Thursday</v>
      </c>
      <c r="I3" s="38" t="str">
        <f t="shared" ref="I3:I66" si="6">IF(OR(WEEKDAY(B3)=6,WEEKDAY(B3)=7),"Y","N")</f>
        <v>N</v>
      </c>
    </row>
    <row r="4" spans="2:9" x14ac:dyDescent="0.35">
      <c r="B4" s="37">
        <v>46024</v>
      </c>
      <c r="C4" s="12">
        <f t="shared" si="0"/>
        <v>2026</v>
      </c>
      <c r="D4" s="12">
        <f t="shared" si="1"/>
        <v>1</v>
      </c>
      <c r="E4" s="12">
        <f t="shared" si="2"/>
        <v>1</v>
      </c>
      <c r="F4" s="12" t="str">
        <f t="shared" si="3"/>
        <v>January</v>
      </c>
      <c r="G4" s="12">
        <f t="shared" si="4"/>
        <v>1</v>
      </c>
      <c r="H4" s="12" t="str">
        <f t="shared" si="5"/>
        <v>Friday</v>
      </c>
      <c r="I4" s="39" t="str">
        <f t="shared" si="6"/>
        <v>Y</v>
      </c>
    </row>
    <row r="5" spans="2:9" x14ac:dyDescent="0.35">
      <c r="B5" s="36">
        <v>46025</v>
      </c>
      <c r="C5" s="11">
        <f t="shared" si="0"/>
        <v>2026</v>
      </c>
      <c r="D5" s="11">
        <f t="shared" si="1"/>
        <v>1</v>
      </c>
      <c r="E5" s="11">
        <f t="shared" si="2"/>
        <v>1</v>
      </c>
      <c r="F5" s="11" t="str">
        <f t="shared" si="3"/>
        <v>January</v>
      </c>
      <c r="G5" s="11">
        <f t="shared" si="4"/>
        <v>1</v>
      </c>
      <c r="H5" s="11" t="str">
        <f t="shared" si="5"/>
        <v>Saturday</v>
      </c>
      <c r="I5" s="38" t="str">
        <f t="shared" si="6"/>
        <v>Y</v>
      </c>
    </row>
    <row r="6" spans="2:9" x14ac:dyDescent="0.35">
      <c r="B6" s="37">
        <v>46026</v>
      </c>
      <c r="C6" s="12">
        <f t="shared" si="0"/>
        <v>2026</v>
      </c>
      <c r="D6" s="12">
        <f t="shared" si="1"/>
        <v>1</v>
      </c>
      <c r="E6" s="12">
        <f t="shared" si="2"/>
        <v>1</v>
      </c>
      <c r="F6" s="12" t="str">
        <f t="shared" si="3"/>
        <v>January</v>
      </c>
      <c r="G6" s="12">
        <f t="shared" si="4"/>
        <v>2</v>
      </c>
      <c r="H6" s="12" t="str">
        <f t="shared" si="5"/>
        <v>Sunday</v>
      </c>
      <c r="I6" s="39" t="str">
        <f t="shared" si="6"/>
        <v>N</v>
      </c>
    </row>
    <row r="7" spans="2:9" x14ac:dyDescent="0.35">
      <c r="B7" s="36">
        <v>46027</v>
      </c>
      <c r="C7" s="11">
        <f t="shared" si="0"/>
        <v>2026</v>
      </c>
      <c r="D7" s="11">
        <f t="shared" si="1"/>
        <v>1</v>
      </c>
      <c r="E7" s="11">
        <f t="shared" si="2"/>
        <v>1</v>
      </c>
      <c r="F7" s="11" t="str">
        <f t="shared" si="3"/>
        <v>January</v>
      </c>
      <c r="G7" s="11">
        <f t="shared" si="4"/>
        <v>2</v>
      </c>
      <c r="H7" s="11" t="str">
        <f t="shared" si="5"/>
        <v>Monday</v>
      </c>
      <c r="I7" s="38" t="str">
        <f t="shared" si="6"/>
        <v>N</v>
      </c>
    </row>
    <row r="8" spans="2:9" x14ac:dyDescent="0.35">
      <c r="B8" s="37">
        <v>46028</v>
      </c>
      <c r="C8" s="12">
        <f t="shared" si="0"/>
        <v>2026</v>
      </c>
      <c r="D8" s="12">
        <f t="shared" si="1"/>
        <v>1</v>
      </c>
      <c r="E8" s="12">
        <f t="shared" si="2"/>
        <v>1</v>
      </c>
      <c r="F8" s="12" t="str">
        <f t="shared" si="3"/>
        <v>January</v>
      </c>
      <c r="G8" s="12">
        <f t="shared" si="4"/>
        <v>2</v>
      </c>
      <c r="H8" s="12" t="str">
        <f t="shared" si="5"/>
        <v>Tuesday</v>
      </c>
      <c r="I8" s="39" t="str">
        <f t="shared" si="6"/>
        <v>N</v>
      </c>
    </row>
    <row r="9" spans="2:9" x14ac:dyDescent="0.35">
      <c r="B9" s="36">
        <v>46029</v>
      </c>
      <c r="C9" s="11">
        <f t="shared" si="0"/>
        <v>2026</v>
      </c>
      <c r="D9" s="11">
        <f t="shared" si="1"/>
        <v>1</v>
      </c>
      <c r="E9" s="11">
        <f t="shared" si="2"/>
        <v>1</v>
      </c>
      <c r="F9" s="11" t="str">
        <f t="shared" si="3"/>
        <v>January</v>
      </c>
      <c r="G9" s="11">
        <f t="shared" si="4"/>
        <v>2</v>
      </c>
      <c r="H9" s="11" t="str">
        <f t="shared" si="5"/>
        <v>Wednesday</v>
      </c>
      <c r="I9" s="38" t="str">
        <f t="shared" si="6"/>
        <v>N</v>
      </c>
    </row>
    <row r="10" spans="2:9" x14ac:dyDescent="0.35">
      <c r="B10" s="37">
        <v>46030</v>
      </c>
      <c r="C10" s="12">
        <f t="shared" si="0"/>
        <v>2026</v>
      </c>
      <c r="D10" s="12">
        <f t="shared" si="1"/>
        <v>1</v>
      </c>
      <c r="E10" s="12">
        <f t="shared" si="2"/>
        <v>1</v>
      </c>
      <c r="F10" s="12" t="str">
        <f t="shared" si="3"/>
        <v>January</v>
      </c>
      <c r="G10" s="12">
        <f t="shared" si="4"/>
        <v>2</v>
      </c>
      <c r="H10" s="12" t="str">
        <f t="shared" si="5"/>
        <v>Thursday</v>
      </c>
      <c r="I10" s="39" t="str">
        <f t="shared" si="6"/>
        <v>N</v>
      </c>
    </row>
    <row r="11" spans="2:9" x14ac:dyDescent="0.35">
      <c r="B11" s="36">
        <v>46031</v>
      </c>
      <c r="C11" s="11">
        <f t="shared" si="0"/>
        <v>2026</v>
      </c>
      <c r="D11" s="11">
        <f t="shared" si="1"/>
        <v>1</v>
      </c>
      <c r="E11" s="11">
        <f t="shared" si="2"/>
        <v>1</v>
      </c>
      <c r="F11" s="11" t="str">
        <f t="shared" si="3"/>
        <v>January</v>
      </c>
      <c r="G11" s="11">
        <f t="shared" si="4"/>
        <v>2</v>
      </c>
      <c r="H11" s="11" t="str">
        <f t="shared" si="5"/>
        <v>Friday</v>
      </c>
      <c r="I11" s="38" t="str">
        <f t="shared" si="6"/>
        <v>Y</v>
      </c>
    </row>
    <row r="12" spans="2:9" x14ac:dyDescent="0.35">
      <c r="B12" s="37">
        <v>46032</v>
      </c>
      <c r="C12" s="12">
        <f t="shared" si="0"/>
        <v>2026</v>
      </c>
      <c r="D12" s="12">
        <f t="shared" si="1"/>
        <v>1</v>
      </c>
      <c r="E12" s="12">
        <f t="shared" si="2"/>
        <v>1</v>
      </c>
      <c r="F12" s="12" t="str">
        <f t="shared" si="3"/>
        <v>January</v>
      </c>
      <c r="G12" s="12">
        <f t="shared" si="4"/>
        <v>2</v>
      </c>
      <c r="H12" s="12" t="str">
        <f t="shared" si="5"/>
        <v>Saturday</v>
      </c>
      <c r="I12" s="39" t="str">
        <f t="shared" si="6"/>
        <v>Y</v>
      </c>
    </row>
    <row r="13" spans="2:9" x14ac:dyDescent="0.35">
      <c r="B13" s="36">
        <v>46033</v>
      </c>
      <c r="C13" s="11">
        <f t="shared" si="0"/>
        <v>2026</v>
      </c>
      <c r="D13" s="11">
        <f t="shared" si="1"/>
        <v>1</v>
      </c>
      <c r="E13" s="11">
        <f t="shared" si="2"/>
        <v>1</v>
      </c>
      <c r="F13" s="11" t="str">
        <f t="shared" si="3"/>
        <v>January</v>
      </c>
      <c r="G13" s="11">
        <f t="shared" si="4"/>
        <v>3</v>
      </c>
      <c r="H13" s="11" t="str">
        <f t="shared" si="5"/>
        <v>Sunday</v>
      </c>
      <c r="I13" s="38" t="str">
        <f t="shared" si="6"/>
        <v>N</v>
      </c>
    </row>
    <row r="14" spans="2:9" x14ac:dyDescent="0.35">
      <c r="B14" s="37">
        <v>46034</v>
      </c>
      <c r="C14" s="12">
        <f t="shared" si="0"/>
        <v>2026</v>
      </c>
      <c r="D14" s="12">
        <f t="shared" si="1"/>
        <v>1</v>
      </c>
      <c r="E14" s="12">
        <f t="shared" si="2"/>
        <v>1</v>
      </c>
      <c r="F14" s="12" t="str">
        <f t="shared" si="3"/>
        <v>January</v>
      </c>
      <c r="G14" s="12">
        <f t="shared" si="4"/>
        <v>3</v>
      </c>
      <c r="H14" s="12" t="str">
        <f t="shared" si="5"/>
        <v>Monday</v>
      </c>
      <c r="I14" s="39" t="str">
        <f t="shared" si="6"/>
        <v>N</v>
      </c>
    </row>
    <row r="15" spans="2:9" x14ac:dyDescent="0.35">
      <c r="B15" s="36">
        <v>46035</v>
      </c>
      <c r="C15" s="11">
        <f t="shared" si="0"/>
        <v>2026</v>
      </c>
      <c r="D15" s="11">
        <f t="shared" si="1"/>
        <v>1</v>
      </c>
      <c r="E15" s="11">
        <f t="shared" si="2"/>
        <v>1</v>
      </c>
      <c r="F15" s="11" t="str">
        <f t="shared" si="3"/>
        <v>January</v>
      </c>
      <c r="G15" s="11">
        <f t="shared" si="4"/>
        <v>3</v>
      </c>
      <c r="H15" s="11" t="str">
        <f t="shared" si="5"/>
        <v>Tuesday</v>
      </c>
      <c r="I15" s="38" t="str">
        <f t="shared" si="6"/>
        <v>N</v>
      </c>
    </row>
    <row r="16" spans="2:9" x14ac:dyDescent="0.35">
      <c r="B16" s="37">
        <v>46036</v>
      </c>
      <c r="C16" s="12">
        <f t="shared" si="0"/>
        <v>2026</v>
      </c>
      <c r="D16" s="12">
        <f t="shared" si="1"/>
        <v>1</v>
      </c>
      <c r="E16" s="12">
        <f t="shared" si="2"/>
        <v>1</v>
      </c>
      <c r="F16" s="12" t="str">
        <f t="shared" si="3"/>
        <v>January</v>
      </c>
      <c r="G16" s="12">
        <f t="shared" si="4"/>
        <v>3</v>
      </c>
      <c r="H16" s="12" t="str">
        <f t="shared" si="5"/>
        <v>Wednesday</v>
      </c>
      <c r="I16" s="39" t="str">
        <f t="shared" si="6"/>
        <v>N</v>
      </c>
    </row>
    <row r="17" spans="2:9" x14ac:dyDescent="0.35">
      <c r="B17" s="36">
        <v>46037</v>
      </c>
      <c r="C17" s="11">
        <f t="shared" si="0"/>
        <v>2026</v>
      </c>
      <c r="D17" s="11">
        <f t="shared" si="1"/>
        <v>1</v>
      </c>
      <c r="E17" s="11">
        <f t="shared" si="2"/>
        <v>1</v>
      </c>
      <c r="F17" s="11" t="str">
        <f t="shared" si="3"/>
        <v>January</v>
      </c>
      <c r="G17" s="11">
        <f t="shared" si="4"/>
        <v>3</v>
      </c>
      <c r="H17" s="11" t="str">
        <f t="shared" si="5"/>
        <v>Thursday</v>
      </c>
      <c r="I17" s="38" t="str">
        <f t="shared" si="6"/>
        <v>N</v>
      </c>
    </row>
    <row r="18" spans="2:9" x14ac:dyDescent="0.35">
      <c r="B18" s="37">
        <v>46038</v>
      </c>
      <c r="C18" s="12">
        <f t="shared" si="0"/>
        <v>2026</v>
      </c>
      <c r="D18" s="12">
        <f t="shared" si="1"/>
        <v>1</v>
      </c>
      <c r="E18" s="12">
        <f t="shared" si="2"/>
        <v>1</v>
      </c>
      <c r="F18" s="12" t="str">
        <f t="shared" si="3"/>
        <v>January</v>
      </c>
      <c r="G18" s="12">
        <f t="shared" si="4"/>
        <v>3</v>
      </c>
      <c r="H18" s="12" t="str">
        <f t="shared" si="5"/>
        <v>Friday</v>
      </c>
      <c r="I18" s="39" t="str">
        <f t="shared" si="6"/>
        <v>Y</v>
      </c>
    </row>
    <row r="19" spans="2:9" x14ac:dyDescent="0.35">
      <c r="B19" s="36">
        <v>46039</v>
      </c>
      <c r="C19" s="11">
        <f t="shared" si="0"/>
        <v>2026</v>
      </c>
      <c r="D19" s="11">
        <f t="shared" si="1"/>
        <v>1</v>
      </c>
      <c r="E19" s="11">
        <f t="shared" si="2"/>
        <v>1</v>
      </c>
      <c r="F19" s="11" t="str">
        <f t="shared" si="3"/>
        <v>January</v>
      </c>
      <c r="G19" s="11">
        <f t="shared" si="4"/>
        <v>3</v>
      </c>
      <c r="H19" s="11" t="str">
        <f t="shared" si="5"/>
        <v>Saturday</v>
      </c>
      <c r="I19" s="38" t="str">
        <f t="shared" si="6"/>
        <v>Y</v>
      </c>
    </row>
    <row r="20" spans="2:9" x14ac:dyDescent="0.35">
      <c r="B20" s="37">
        <v>46040</v>
      </c>
      <c r="C20" s="12">
        <f t="shared" si="0"/>
        <v>2026</v>
      </c>
      <c r="D20" s="12">
        <f t="shared" si="1"/>
        <v>1</v>
      </c>
      <c r="E20" s="12">
        <f t="shared" si="2"/>
        <v>1</v>
      </c>
      <c r="F20" s="12" t="str">
        <f t="shared" si="3"/>
        <v>January</v>
      </c>
      <c r="G20" s="12">
        <f t="shared" si="4"/>
        <v>4</v>
      </c>
      <c r="H20" s="12" t="str">
        <f t="shared" si="5"/>
        <v>Sunday</v>
      </c>
      <c r="I20" s="39" t="str">
        <f t="shared" si="6"/>
        <v>N</v>
      </c>
    </row>
    <row r="21" spans="2:9" x14ac:dyDescent="0.35">
      <c r="B21" s="36">
        <v>46041</v>
      </c>
      <c r="C21" s="11">
        <f t="shared" si="0"/>
        <v>2026</v>
      </c>
      <c r="D21" s="11">
        <f t="shared" si="1"/>
        <v>1</v>
      </c>
      <c r="E21" s="11">
        <f t="shared" si="2"/>
        <v>1</v>
      </c>
      <c r="F21" s="11" t="str">
        <f t="shared" si="3"/>
        <v>January</v>
      </c>
      <c r="G21" s="11">
        <f t="shared" si="4"/>
        <v>4</v>
      </c>
      <c r="H21" s="11" t="str">
        <f t="shared" si="5"/>
        <v>Monday</v>
      </c>
      <c r="I21" s="38" t="str">
        <f t="shared" si="6"/>
        <v>N</v>
      </c>
    </row>
    <row r="22" spans="2:9" x14ac:dyDescent="0.35">
      <c r="B22" s="37">
        <v>46042</v>
      </c>
      <c r="C22" s="12">
        <f t="shared" si="0"/>
        <v>2026</v>
      </c>
      <c r="D22" s="12">
        <f t="shared" si="1"/>
        <v>1</v>
      </c>
      <c r="E22" s="12">
        <f t="shared" si="2"/>
        <v>1</v>
      </c>
      <c r="F22" s="12" t="str">
        <f t="shared" si="3"/>
        <v>January</v>
      </c>
      <c r="G22" s="12">
        <f t="shared" si="4"/>
        <v>4</v>
      </c>
      <c r="H22" s="12" t="str">
        <f t="shared" si="5"/>
        <v>Tuesday</v>
      </c>
      <c r="I22" s="39" t="str">
        <f t="shared" si="6"/>
        <v>N</v>
      </c>
    </row>
    <row r="23" spans="2:9" x14ac:dyDescent="0.35">
      <c r="B23" s="36">
        <v>46043</v>
      </c>
      <c r="C23" s="11">
        <f t="shared" si="0"/>
        <v>2026</v>
      </c>
      <c r="D23" s="11">
        <f t="shared" si="1"/>
        <v>1</v>
      </c>
      <c r="E23" s="11">
        <f t="shared" si="2"/>
        <v>1</v>
      </c>
      <c r="F23" s="11" t="str">
        <f t="shared" si="3"/>
        <v>January</v>
      </c>
      <c r="G23" s="11">
        <f t="shared" si="4"/>
        <v>4</v>
      </c>
      <c r="H23" s="11" t="str">
        <f t="shared" si="5"/>
        <v>Wednesday</v>
      </c>
      <c r="I23" s="38" t="str">
        <f t="shared" si="6"/>
        <v>N</v>
      </c>
    </row>
    <row r="24" spans="2:9" x14ac:dyDescent="0.35">
      <c r="B24" s="37">
        <v>46044</v>
      </c>
      <c r="C24" s="12">
        <f t="shared" si="0"/>
        <v>2026</v>
      </c>
      <c r="D24" s="12">
        <f t="shared" si="1"/>
        <v>1</v>
      </c>
      <c r="E24" s="12">
        <f t="shared" si="2"/>
        <v>1</v>
      </c>
      <c r="F24" s="12" t="str">
        <f t="shared" si="3"/>
        <v>January</v>
      </c>
      <c r="G24" s="12">
        <f t="shared" si="4"/>
        <v>4</v>
      </c>
      <c r="H24" s="12" t="str">
        <f t="shared" si="5"/>
        <v>Thursday</v>
      </c>
      <c r="I24" s="39" t="str">
        <f t="shared" si="6"/>
        <v>N</v>
      </c>
    </row>
    <row r="25" spans="2:9" x14ac:dyDescent="0.35">
      <c r="B25" s="36">
        <v>46045</v>
      </c>
      <c r="C25" s="11">
        <f t="shared" si="0"/>
        <v>2026</v>
      </c>
      <c r="D25" s="11">
        <f t="shared" si="1"/>
        <v>1</v>
      </c>
      <c r="E25" s="11">
        <f t="shared" si="2"/>
        <v>1</v>
      </c>
      <c r="F25" s="11" t="str">
        <f t="shared" si="3"/>
        <v>January</v>
      </c>
      <c r="G25" s="11">
        <f t="shared" si="4"/>
        <v>4</v>
      </c>
      <c r="H25" s="11" t="str">
        <f t="shared" si="5"/>
        <v>Friday</v>
      </c>
      <c r="I25" s="38" t="str">
        <f t="shared" si="6"/>
        <v>Y</v>
      </c>
    </row>
    <row r="26" spans="2:9" x14ac:dyDescent="0.35">
      <c r="B26" s="37">
        <v>46046</v>
      </c>
      <c r="C26" s="12">
        <f t="shared" si="0"/>
        <v>2026</v>
      </c>
      <c r="D26" s="12">
        <f t="shared" si="1"/>
        <v>1</v>
      </c>
      <c r="E26" s="12">
        <f t="shared" si="2"/>
        <v>1</v>
      </c>
      <c r="F26" s="12" t="str">
        <f t="shared" si="3"/>
        <v>January</v>
      </c>
      <c r="G26" s="12">
        <f t="shared" si="4"/>
        <v>4</v>
      </c>
      <c r="H26" s="12" t="str">
        <f t="shared" si="5"/>
        <v>Saturday</v>
      </c>
      <c r="I26" s="39" t="str">
        <f t="shared" si="6"/>
        <v>Y</v>
      </c>
    </row>
    <row r="27" spans="2:9" x14ac:dyDescent="0.35">
      <c r="B27" s="36">
        <v>46047</v>
      </c>
      <c r="C27" s="11">
        <f t="shared" si="0"/>
        <v>2026</v>
      </c>
      <c r="D27" s="11">
        <f t="shared" si="1"/>
        <v>1</v>
      </c>
      <c r="E27" s="11">
        <f t="shared" si="2"/>
        <v>1</v>
      </c>
      <c r="F27" s="11" t="str">
        <f t="shared" si="3"/>
        <v>January</v>
      </c>
      <c r="G27" s="11">
        <f t="shared" si="4"/>
        <v>5</v>
      </c>
      <c r="H27" s="11" t="str">
        <f t="shared" si="5"/>
        <v>Sunday</v>
      </c>
      <c r="I27" s="38" t="str">
        <f t="shared" si="6"/>
        <v>N</v>
      </c>
    </row>
    <row r="28" spans="2:9" x14ac:dyDescent="0.35">
      <c r="B28" s="37">
        <v>46048</v>
      </c>
      <c r="C28" s="12">
        <f t="shared" si="0"/>
        <v>2026</v>
      </c>
      <c r="D28" s="12">
        <f t="shared" si="1"/>
        <v>1</v>
      </c>
      <c r="E28" s="12">
        <f t="shared" si="2"/>
        <v>1</v>
      </c>
      <c r="F28" s="12" t="str">
        <f t="shared" si="3"/>
        <v>January</v>
      </c>
      <c r="G28" s="12">
        <f t="shared" si="4"/>
        <v>5</v>
      </c>
      <c r="H28" s="12" t="str">
        <f t="shared" si="5"/>
        <v>Monday</v>
      </c>
      <c r="I28" s="39" t="str">
        <f t="shared" si="6"/>
        <v>N</v>
      </c>
    </row>
    <row r="29" spans="2:9" x14ac:dyDescent="0.35">
      <c r="B29" s="36">
        <v>46049</v>
      </c>
      <c r="C29" s="11">
        <f t="shared" si="0"/>
        <v>2026</v>
      </c>
      <c r="D29" s="11">
        <f t="shared" si="1"/>
        <v>1</v>
      </c>
      <c r="E29" s="11">
        <f t="shared" si="2"/>
        <v>1</v>
      </c>
      <c r="F29" s="11" t="str">
        <f t="shared" si="3"/>
        <v>January</v>
      </c>
      <c r="G29" s="11">
        <f t="shared" si="4"/>
        <v>5</v>
      </c>
      <c r="H29" s="11" t="str">
        <f t="shared" si="5"/>
        <v>Tuesday</v>
      </c>
      <c r="I29" s="38" t="str">
        <f t="shared" si="6"/>
        <v>N</v>
      </c>
    </row>
    <row r="30" spans="2:9" x14ac:dyDescent="0.35">
      <c r="B30" s="37">
        <v>46050</v>
      </c>
      <c r="C30" s="12">
        <f t="shared" si="0"/>
        <v>2026</v>
      </c>
      <c r="D30" s="12">
        <f t="shared" si="1"/>
        <v>1</v>
      </c>
      <c r="E30" s="12">
        <f t="shared" si="2"/>
        <v>1</v>
      </c>
      <c r="F30" s="12" t="str">
        <f t="shared" si="3"/>
        <v>January</v>
      </c>
      <c r="G30" s="12">
        <f t="shared" si="4"/>
        <v>5</v>
      </c>
      <c r="H30" s="12" t="str">
        <f t="shared" si="5"/>
        <v>Wednesday</v>
      </c>
      <c r="I30" s="39" t="str">
        <f t="shared" si="6"/>
        <v>N</v>
      </c>
    </row>
    <row r="31" spans="2:9" x14ac:dyDescent="0.35">
      <c r="B31" s="36">
        <v>46051</v>
      </c>
      <c r="C31" s="11">
        <f t="shared" si="0"/>
        <v>2026</v>
      </c>
      <c r="D31" s="11">
        <f t="shared" si="1"/>
        <v>1</v>
      </c>
      <c r="E31" s="11">
        <f t="shared" si="2"/>
        <v>1</v>
      </c>
      <c r="F31" s="11" t="str">
        <f t="shared" si="3"/>
        <v>January</v>
      </c>
      <c r="G31" s="11">
        <f t="shared" si="4"/>
        <v>5</v>
      </c>
      <c r="H31" s="11" t="str">
        <f t="shared" si="5"/>
        <v>Thursday</v>
      </c>
      <c r="I31" s="38" t="str">
        <f t="shared" si="6"/>
        <v>N</v>
      </c>
    </row>
    <row r="32" spans="2:9" x14ac:dyDescent="0.35">
      <c r="B32" s="37">
        <v>46052</v>
      </c>
      <c r="C32" s="12">
        <f t="shared" si="0"/>
        <v>2026</v>
      </c>
      <c r="D32" s="12">
        <f t="shared" si="1"/>
        <v>1</v>
      </c>
      <c r="E32" s="12">
        <f t="shared" si="2"/>
        <v>1</v>
      </c>
      <c r="F32" s="12" t="str">
        <f t="shared" si="3"/>
        <v>January</v>
      </c>
      <c r="G32" s="12">
        <f t="shared" si="4"/>
        <v>5</v>
      </c>
      <c r="H32" s="12" t="str">
        <f t="shared" si="5"/>
        <v>Friday</v>
      </c>
      <c r="I32" s="39" t="str">
        <f t="shared" si="6"/>
        <v>Y</v>
      </c>
    </row>
    <row r="33" spans="2:9" x14ac:dyDescent="0.35">
      <c r="B33" s="36">
        <v>46053</v>
      </c>
      <c r="C33" s="11">
        <f t="shared" si="0"/>
        <v>2026</v>
      </c>
      <c r="D33" s="11">
        <f t="shared" si="1"/>
        <v>1</v>
      </c>
      <c r="E33" s="11">
        <f t="shared" si="2"/>
        <v>1</v>
      </c>
      <c r="F33" s="11" t="str">
        <f t="shared" si="3"/>
        <v>January</v>
      </c>
      <c r="G33" s="11">
        <f t="shared" si="4"/>
        <v>5</v>
      </c>
      <c r="H33" s="11" t="str">
        <f t="shared" si="5"/>
        <v>Saturday</v>
      </c>
      <c r="I33" s="38" t="str">
        <f t="shared" si="6"/>
        <v>Y</v>
      </c>
    </row>
    <row r="34" spans="2:9" x14ac:dyDescent="0.35">
      <c r="B34" s="37">
        <v>46054</v>
      </c>
      <c r="C34" s="12">
        <f t="shared" si="0"/>
        <v>2026</v>
      </c>
      <c r="D34" s="12">
        <f t="shared" si="1"/>
        <v>1</v>
      </c>
      <c r="E34" s="12">
        <f t="shared" si="2"/>
        <v>2</v>
      </c>
      <c r="F34" s="12" t="str">
        <f t="shared" si="3"/>
        <v>February</v>
      </c>
      <c r="G34" s="12">
        <f t="shared" si="4"/>
        <v>6</v>
      </c>
      <c r="H34" s="12" t="str">
        <f t="shared" si="5"/>
        <v>Sunday</v>
      </c>
      <c r="I34" s="39" t="str">
        <f t="shared" si="6"/>
        <v>N</v>
      </c>
    </row>
    <row r="35" spans="2:9" x14ac:dyDescent="0.35">
      <c r="B35" s="36">
        <v>46055</v>
      </c>
      <c r="C35" s="11">
        <f t="shared" si="0"/>
        <v>2026</v>
      </c>
      <c r="D35" s="11">
        <f t="shared" si="1"/>
        <v>1</v>
      </c>
      <c r="E35" s="11">
        <f t="shared" si="2"/>
        <v>2</v>
      </c>
      <c r="F35" s="11" t="str">
        <f t="shared" si="3"/>
        <v>February</v>
      </c>
      <c r="G35" s="11">
        <f t="shared" si="4"/>
        <v>6</v>
      </c>
      <c r="H35" s="11" t="str">
        <f t="shared" si="5"/>
        <v>Monday</v>
      </c>
      <c r="I35" s="38" t="str">
        <f t="shared" si="6"/>
        <v>N</v>
      </c>
    </row>
    <row r="36" spans="2:9" x14ac:dyDescent="0.35">
      <c r="B36" s="37">
        <v>46056</v>
      </c>
      <c r="C36" s="12">
        <f t="shared" si="0"/>
        <v>2026</v>
      </c>
      <c r="D36" s="12">
        <f t="shared" si="1"/>
        <v>1</v>
      </c>
      <c r="E36" s="12">
        <f t="shared" si="2"/>
        <v>2</v>
      </c>
      <c r="F36" s="12" t="str">
        <f t="shared" si="3"/>
        <v>February</v>
      </c>
      <c r="G36" s="12">
        <f t="shared" si="4"/>
        <v>6</v>
      </c>
      <c r="H36" s="12" t="str">
        <f t="shared" si="5"/>
        <v>Tuesday</v>
      </c>
      <c r="I36" s="39" t="str">
        <f t="shared" si="6"/>
        <v>N</v>
      </c>
    </row>
    <row r="37" spans="2:9" x14ac:dyDescent="0.35">
      <c r="B37" s="36">
        <v>46057</v>
      </c>
      <c r="C37" s="11">
        <f t="shared" si="0"/>
        <v>2026</v>
      </c>
      <c r="D37" s="11">
        <f t="shared" si="1"/>
        <v>1</v>
      </c>
      <c r="E37" s="11">
        <f t="shared" si="2"/>
        <v>2</v>
      </c>
      <c r="F37" s="11" t="str">
        <f t="shared" si="3"/>
        <v>February</v>
      </c>
      <c r="G37" s="11">
        <f t="shared" si="4"/>
        <v>6</v>
      </c>
      <c r="H37" s="11" t="str">
        <f t="shared" si="5"/>
        <v>Wednesday</v>
      </c>
      <c r="I37" s="38" t="str">
        <f t="shared" si="6"/>
        <v>N</v>
      </c>
    </row>
    <row r="38" spans="2:9" x14ac:dyDescent="0.35">
      <c r="B38" s="37">
        <v>46058</v>
      </c>
      <c r="C38" s="12">
        <f t="shared" si="0"/>
        <v>2026</v>
      </c>
      <c r="D38" s="12">
        <f t="shared" si="1"/>
        <v>1</v>
      </c>
      <c r="E38" s="12">
        <f t="shared" si="2"/>
        <v>2</v>
      </c>
      <c r="F38" s="12" t="str">
        <f t="shared" si="3"/>
        <v>February</v>
      </c>
      <c r="G38" s="12">
        <f t="shared" si="4"/>
        <v>6</v>
      </c>
      <c r="H38" s="12" t="str">
        <f t="shared" si="5"/>
        <v>Thursday</v>
      </c>
      <c r="I38" s="39" t="str">
        <f t="shared" si="6"/>
        <v>N</v>
      </c>
    </row>
    <row r="39" spans="2:9" x14ac:dyDescent="0.35">
      <c r="B39" s="36">
        <v>46059</v>
      </c>
      <c r="C39" s="11">
        <f t="shared" si="0"/>
        <v>2026</v>
      </c>
      <c r="D39" s="11">
        <f t="shared" si="1"/>
        <v>1</v>
      </c>
      <c r="E39" s="11">
        <f t="shared" si="2"/>
        <v>2</v>
      </c>
      <c r="F39" s="11" t="str">
        <f t="shared" si="3"/>
        <v>February</v>
      </c>
      <c r="G39" s="11">
        <f t="shared" si="4"/>
        <v>6</v>
      </c>
      <c r="H39" s="11" t="str">
        <f t="shared" si="5"/>
        <v>Friday</v>
      </c>
      <c r="I39" s="38" t="str">
        <f t="shared" si="6"/>
        <v>Y</v>
      </c>
    </row>
    <row r="40" spans="2:9" x14ac:dyDescent="0.35">
      <c r="B40" s="37">
        <v>46060</v>
      </c>
      <c r="C40" s="12">
        <f t="shared" si="0"/>
        <v>2026</v>
      </c>
      <c r="D40" s="12">
        <f t="shared" si="1"/>
        <v>1</v>
      </c>
      <c r="E40" s="12">
        <f t="shared" si="2"/>
        <v>2</v>
      </c>
      <c r="F40" s="12" t="str">
        <f t="shared" si="3"/>
        <v>February</v>
      </c>
      <c r="G40" s="12">
        <f t="shared" si="4"/>
        <v>6</v>
      </c>
      <c r="H40" s="12" t="str">
        <f t="shared" si="5"/>
        <v>Saturday</v>
      </c>
      <c r="I40" s="39" t="str">
        <f t="shared" si="6"/>
        <v>Y</v>
      </c>
    </row>
    <row r="41" spans="2:9" x14ac:dyDescent="0.35">
      <c r="B41" s="36">
        <v>46061</v>
      </c>
      <c r="C41" s="11">
        <f t="shared" si="0"/>
        <v>2026</v>
      </c>
      <c r="D41" s="11">
        <f t="shared" si="1"/>
        <v>1</v>
      </c>
      <c r="E41" s="11">
        <f t="shared" si="2"/>
        <v>2</v>
      </c>
      <c r="F41" s="11" t="str">
        <f t="shared" si="3"/>
        <v>February</v>
      </c>
      <c r="G41" s="11">
        <f t="shared" si="4"/>
        <v>7</v>
      </c>
      <c r="H41" s="11" t="str">
        <f t="shared" si="5"/>
        <v>Sunday</v>
      </c>
      <c r="I41" s="38" t="str">
        <f t="shared" si="6"/>
        <v>N</v>
      </c>
    </row>
    <row r="42" spans="2:9" x14ac:dyDescent="0.35">
      <c r="B42" s="37">
        <v>46062</v>
      </c>
      <c r="C42" s="12">
        <f t="shared" si="0"/>
        <v>2026</v>
      </c>
      <c r="D42" s="12">
        <f t="shared" si="1"/>
        <v>1</v>
      </c>
      <c r="E42" s="12">
        <f t="shared" si="2"/>
        <v>2</v>
      </c>
      <c r="F42" s="12" t="str">
        <f t="shared" si="3"/>
        <v>February</v>
      </c>
      <c r="G42" s="12">
        <f t="shared" si="4"/>
        <v>7</v>
      </c>
      <c r="H42" s="12" t="str">
        <f t="shared" si="5"/>
        <v>Monday</v>
      </c>
      <c r="I42" s="39" t="str">
        <f t="shared" si="6"/>
        <v>N</v>
      </c>
    </row>
    <row r="43" spans="2:9" x14ac:dyDescent="0.35">
      <c r="B43" s="36">
        <v>46063</v>
      </c>
      <c r="C43" s="11">
        <f t="shared" si="0"/>
        <v>2026</v>
      </c>
      <c r="D43" s="11">
        <f t="shared" si="1"/>
        <v>1</v>
      </c>
      <c r="E43" s="11">
        <f t="shared" si="2"/>
        <v>2</v>
      </c>
      <c r="F43" s="11" t="str">
        <f t="shared" si="3"/>
        <v>February</v>
      </c>
      <c r="G43" s="11">
        <f t="shared" si="4"/>
        <v>7</v>
      </c>
      <c r="H43" s="11" t="str">
        <f t="shared" si="5"/>
        <v>Tuesday</v>
      </c>
      <c r="I43" s="38" t="str">
        <f t="shared" si="6"/>
        <v>N</v>
      </c>
    </row>
    <row r="44" spans="2:9" x14ac:dyDescent="0.35">
      <c r="B44" s="37">
        <v>46064</v>
      </c>
      <c r="C44" s="12">
        <f t="shared" si="0"/>
        <v>2026</v>
      </c>
      <c r="D44" s="12">
        <f t="shared" si="1"/>
        <v>1</v>
      </c>
      <c r="E44" s="12">
        <f t="shared" si="2"/>
        <v>2</v>
      </c>
      <c r="F44" s="12" t="str">
        <f t="shared" si="3"/>
        <v>February</v>
      </c>
      <c r="G44" s="12">
        <f t="shared" si="4"/>
        <v>7</v>
      </c>
      <c r="H44" s="12" t="str">
        <f t="shared" si="5"/>
        <v>Wednesday</v>
      </c>
      <c r="I44" s="39" t="str">
        <f t="shared" si="6"/>
        <v>N</v>
      </c>
    </row>
    <row r="45" spans="2:9" x14ac:dyDescent="0.35">
      <c r="B45" s="36">
        <v>46065</v>
      </c>
      <c r="C45" s="11">
        <f t="shared" si="0"/>
        <v>2026</v>
      </c>
      <c r="D45" s="11">
        <f t="shared" si="1"/>
        <v>1</v>
      </c>
      <c r="E45" s="11">
        <f t="shared" si="2"/>
        <v>2</v>
      </c>
      <c r="F45" s="11" t="str">
        <f t="shared" si="3"/>
        <v>February</v>
      </c>
      <c r="G45" s="11">
        <f t="shared" si="4"/>
        <v>7</v>
      </c>
      <c r="H45" s="11" t="str">
        <f t="shared" si="5"/>
        <v>Thursday</v>
      </c>
      <c r="I45" s="38" t="str">
        <f t="shared" si="6"/>
        <v>N</v>
      </c>
    </row>
    <row r="46" spans="2:9" x14ac:dyDescent="0.35">
      <c r="B46" s="37">
        <v>46066</v>
      </c>
      <c r="C46" s="12">
        <f t="shared" si="0"/>
        <v>2026</v>
      </c>
      <c r="D46" s="12">
        <f t="shared" si="1"/>
        <v>1</v>
      </c>
      <c r="E46" s="12">
        <f t="shared" si="2"/>
        <v>2</v>
      </c>
      <c r="F46" s="12" t="str">
        <f t="shared" si="3"/>
        <v>February</v>
      </c>
      <c r="G46" s="12">
        <f t="shared" si="4"/>
        <v>7</v>
      </c>
      <c r="H46" s="12" t="str">
        <f t="shared" si="5"/>
        <v>Friday</v>
      </c>
      <c r="I46" s="39" t="str">
        <f t="shared" si="6"/>
        <v>Y</v>
      </c>
    </row>
    <row r="47" spans="2:9" x14ac:dyDescent="0.35">
      <c r="B47" s="36">
        <v>46067</v>
      </c>
      <c r="C47" s="11">
        <f t="shared" si="0"/>
        <v>2026</v>
      </c>
      <c r="D47" s="11">
        <f t="shared" si="1"/>
        <v>1</v>
      </c>
      <c r="E47" s="11">
        <f t="shared" si="2"/>
        <v>2</v>
      </c>
      <c r="F47" s="11" t="str">
        <f t="shared" si="3"/>
        <v>February</v>
      </c>
      <c r="G47" s="11">
        <f t="shared" si="4"/>
        <v>7</v>
      </c>
      <c r="H47" s="11" t="str">
        <f t="shared" si="5"/>
        <v>Saturday</v>
      </c>
      <c r="I47" s="38" t="str">
        <f t="shared" si="6"/>
        <v>Y</v>
      </c>
    </row>
    <row r="48" spans="2:9" x14ac:dyDescent="0.35">
      <c r="B48" s="37">
        <v>46068</v>
      </c>
      <c r="C48" s="12">
        <f t="shared" si="0"/>
        <v>2026</v>
      </c>
      <c r="D48" s="12">
        <f t="shared" si="1"/>
        <v>1</v>
      </c>
      <c r="E48" s="12">
        <f t="shared" si="2"/>
        <v>2</v>
      </c>
      <c r="F48" s="12" t="str">
        <f t="shared" si="3"/>
        <v>February</v>
      </c>
      <c r="G48" s="12">
        <f t="shared" si="4"/>
        <v>8</v>
      </c>
      <c r="H48" s="12" t="str">
        <f t="shared" si="5"/>
        <v>Sunday</v>
      </c>
      <c r="I48" s="39" t="str">
        <f t="shared" si="6"/>
        <v>N</v>
      </c>
    </row>
    <row r="49" spans="2:9" x14ac:dyDescent="0.35">
      <c r="B49" s="36">
        <v>46069</v>
      </c>
      <c r="C49" s="11">
        <f t="shared" si="0"/>
        <v>2026</v>
      </c>
      <c r="D49" s="11">
        <f t="shared" si="1"/>
        <v>1</v>
      </c>
      <c r="E49" s="11">
        <f t="shared" si="2"/>
        <v>2</v>
      </c>
      <c r="F49" s="11" t="str">
        <f t="shared" si="3"/>
        <v>February</v>
      </c>
      <c r="G49" s="11">
        <f t="shared" si="4"/>
        <v>8</v>
      </c>
      <c r="H49" s="11" t="str">
        <f t="shared" si="5"/>
        <v>Monday</v>
      </c>
      <c r="I49" s="38" t="str">
        <f t="shared" si="6"/>
        <v>N</v>
      </c>
    </row>
    <row r="50" spans="2:9" x14ac:dyDescent="0.35">
      <c r="B50" s="37">
        <v>46070</v>
      </c>
      <c r="C50" s="12">
        <f t="shared" si="0"/>
        <v>2026</v>
      </c>
      <c r="D50" s="12">
        <f t="shared" si="1"/>
        <v>1</v>
      </c>
      <c r="E50" s="12">
        <f t="shared" si="2"/>
        <v>2</v>
      </c>
      <c r="F50" s="12" t="str">
        <f t="shared" si="3"/>
        <v>February</v>
      </c>
      <c r="G50" s="12">
        <f t="shared" si="4"/>
        <v>8</v>
      </c>
      <c r="H50" s="12" t="str">
        <f t="shared" si="5"/>
        <v>Tuesday</v>
      </c>
      <c r="I50" s="39" t="str">
        <f t="shared" si="6"/>
        <v>N</v>
      </c>
    </row>
    <row r="51" spans="2:9" x14ac:dyDescent="0.35">
      <c r="B51" s="36">
        <v>46071</v>
      </c>
      <c r="C51" s="11">
        <f t="shared" si="0"/>
        <v>2026</v>
      </c>
      <c r="D51" s="11">
        <f t="shared" si="1"/>
        <v>1</v>
      </c>
      <c r="E51" s="11">
        <f t="shared" si="2"/>
        <v>2</v>
      </c>
      <c r="F51" s="11" t="str">
        <f t="shared" si="3"/>
        <v>February</v>
      </c>
      <c r="G51" s="11">
        <f t="shared" si="4"/>
        <v>8</v>
      </c>
      <c r="H51" s="11" t="str">
        <f t="shared" si="5"/>
        <v>Wednesday</v>
      </c>
      <c r="I51" s="38" t="str">
        <f t="shared" si="6"/>
        <v>N</v>
      </c>
    </row>
    <row r="52" spans="2:9" x14ac:dyDescent="0.35">
      <c r="B52" s="37">
        <v>46072</v>
      </c>
      <c r="C52" s="12">
        <f t="shared" si="0"/>
        <v>2026</v>
      </c>
      <c r="D52" s="12">
        <f t="shared" si="1"/>
        <v>1</v>
      </c>
      <c r="E52" s="12">
        <f t="shared" si="2"/>
        <v>2</v>
      </c>
      <c r="F52" s="12" t="str">
        <f t="shared" si="3"/>
        <v>February</v>
      </c>
      <c r="G52" s="12">
        <f t="shared" si="4"/>
        <v>8</v>
      </c>
      <c r="H52" s="12" t="str">
        <f t="shared" si="5"/>
        <v>Thursday</v>
      </c>
      <c r="I52" s="39" t="str">
        <f t="shared" si="6"/>
        <v>N</v>
      </c>
    </row>
    <row r="53" spans="2:9" x14ac:dyDescent="0.35">
      <c r="B53" s="36">
        <v>46073</v>
      </c>
      <c r="C53" s="11">
        <f t="shared" si="0"/>
        <v>2026</v>
      </c>
      <c r="D53" s="11">
        <f t="shared" si="1"/>
        <v>1</v>
      </c>
      <c r="E53" s="11">
        <f t="shared" si="2"/>
        <v>2</v>
      </c>
      <c r="F53" s="11" t="str">
        <f t="shared" si="3"/>
        <v>February</v>
      </c>
      <c r="G53" s="11">
        <f t="shared" si="4"/>
        <v>8</v>
      </c>
      <c r="H53" s="11" t="str">
        <f t="shared" si="5"/>
        <v>Friday</v>
      </c>
      <c r="I53" s="38" t="str">
        <f t="shared" si="6"/>
        <v>Y</v>
      </c>
    </row>
    <row r="54" spans="2:9" x14ac:dyDescent="0.35">
      <c r="B54" s="37">
        <v>46074</v>
      </c>
      <c r="C54" s="12">
        <f t="shared" si="0"/>
        <v>2026</v>
      </c>
      <c r="D54" s="12">
        <f t="shared" si="1"/>
        <v>1</v>
      </c>
      <c r="E54" s="12">
        <f t="shared" si="2"/>
        <v>2</v>
      </c>
      <c r="F54" s="12" t="str">
        <f t="shared" si="3"/>
        <v>February</v>
      </c>
      <c r="G54" s="12">
        <f t="shared" si="4"/>
        <v>8</v>
      </c>
      <c r="H54" s="12" t="str">
        <f t="shared" si="5"/>
        <v>Saturday</v>
      </c>
      <c r="I54" s="39" t="str">
        <f t="shared" si="6"/>
        <v>Y</v>
      </c>
    </row>
    <row r="55" spans="2:9" x14ac:dyDescent="0.35">
      <c r="B55" s="36">
        <v>46075</v>
      </c>
      <c r="C55" s="11">
        <f t="shared" si="0"/>
        <v>2026</v>
      </c>
      <c r="D55" s="11">
        <f t="shared" si="1"/>
        <v>1</v>
      </c>
      <c r="E55" s="11">
        <f t="shared" si="2"/>
        <v>2</v>
      </c>
      <c r="F55" s="11" t="str">
        <f t="shared" si="3"/>
        <v>February</v>
      </c>
      <c r="G55" s="11">
        <f t="shared" si="4"/>
        <v>9</v>
      </c>
      <c r="H55" s="11" t="str">
        <f t="shared" si="5"/>
        <v>Sunday</v>
      </c>
      <c r="I55" s="38" t="str">
        <f t="shared" si="6"/>
        <v>N</v>
      </c>
    </row>
    <row r="56" spans="2:9" x14ac:dyDescent="0.35">
      <c r="B56" s="37">
        <v>46076</v>
      </c>
      <c r="C56" s="12">
        <f t="shared" si="0"/>
        <v>2026</v>
      </c>
      <c r="D56" s="12">
        <f t="shared" si="1"/>
        <v>1</v>
      </c>
      <c r="E56" s="12">
        <f t="shared" si="2"/>
        <v>2</v>
      </c>
      <c r="F56" s="12" t="str">
        <f t="shared" si="3"/>
        <v>February</v>
      </c>
      <c r="G56" s="12">
        <f t="shared" si="4"/>
        <v>9</v>
      </c>
      <c r="H56" s="12" t="str">
        <f t="shared" si="5"/>
        <v>Monday</v>
      </c>
      <c r="I56" s="39" t="str">
        <f t="shared" si="6"/>
        <v>N</v>
      </c>
    </row>
    <row r="57" spans="2:9" x14ac:dyDescent="0.35">
      <c r="B57" s="36">
        <v>46077</v>
      </c>
      <c r="C57" s="11">
        <f t="shared" si="0"/>
        <v>2026</v>
      </c>
      <c r="D57" s="11">
        <f t="shared" si="1"/>
        <v>1</v>
      </c>
      <c r="E57" s="11">
        <f t="shared" si="2"/>
        <v>2</v>
      </c>
      <c r="F57" s="11" t="str">
        <f t="shared" si="3"/>
        <v>February</v>
      </c>
      <c r="G57" s="11">
        <f t="shared" si="4"/>
        <v>9</v>
      </c>
      <c r="H57" s="11" t="str">
        <f t="shared" si="5"/>
        <v>Tuesday</v>
      </c>
      <c r="I57" s="38" t="str">
        <f t="shared" si="6"/>
        <v>N</v>
      </c>
    </row>
    <row r="58" spans="2:9" x14ac:dyDescent="0.35">
      <c r="B58" s="37">
        <v>46078</v>
      </c>
      <c r="C58" s="12">
        <f t="shared" si="0"/>
        <v>2026</v>
      </c>
      <c r="D58" s="12">
        <f t="shared" si="1"/>
        <v>1</v>
      </c>
      <c r="E58" s="12">
        <f t="shared" si="2"/>
        <v>2</v>
      </c>
      <c r="F58" s="12" t="str">
        <f t="shared" si="3"/>
        <v>February</v>
      </c>
      <c r="G58" s="12">
        <f t="shared" si="4"/>
        <v>9</v>
      </c>
      <c r="H58" s="12" t="str">
        <f t="shared" si="5"/>
        <v>Wednesday</v>
      </c>
      <c r="I58" s="39" t="str">
        <f t="shared" si="6"/>
        <v>N</v>
      </c>
    </row>
    <row r="59" spans="2:9" x14ac:dyDescent="0.35">
      <c r="B59" s="36">
        <v>46079</v>
      </c>
      <c r="C59" s="11">
        <f t="shared" si="0"/>
        <v>2026</v>
      </c>
      <c r="D59" s="11">
        <f t="shared" si="1"/>
        <v>1</v>
      </c>
      <c r="E59" s="11">
        <f t="shared" si="2"/>
        <v>2</v>
      </c>
      <c r="F59" s="11" t="str">
        <f t="shared" si="3"/>
        <v>February</v>
      </c>
      <c r="G59" s="11">
        <f t="shared" si="4"/>
        <v>9</v>
      </c>
      <c r="H59" s="11" t="str">
        <f t="shared" si="5"/>
        <v>Thursday</v>
      </c>
      <c r="I59" s="38" t="str">
        <f t="shared" si="6"/>
        <v>N</v>
      </c>
    </row>
    <row r="60" spans="2:9" x14ac:dyDescent="0.35">
      <c r="B60" s="37">
        <v>46080</v>
      </c>
      <c r="C60" s="12">
        <f t="shared" si="0"/>
        <v>2026</v>
      </c>
      <c r="D60" s="12">
        <f t="shared" si="1"/>
        <v>1</v>
      </c>
      <c r="E60" s="12">
        <f t="shared" si="2"/>
        <v>2</v>
      </c>
      <c r="F60" s="12" t="str">
        <f t="shared" si="3"/>
        <v>February</v>
      </c>
      <c r="G60" s="12">
        <f t="shared" si="4"/>
        <v>9</v>
      </c>
      <c r="H60" s="12" t="str">
        <f t="shared" si="5"/>
        <v>Friday</v>
      </c>
      <c r="I60" s="39" t="str">
        <f t="shared" si="6"/>
        <v>Y</v>
      </c>
    </row>
    <row r="61" spans="2:9" x14ac:dyDescent="0.35">
      <c r="B61" s="36">
        <v>46081</v>
      </c>
      <c r="C61" s="11">
        <f t="shared" si="0"/>
        <v>2026</v>
      </c>
      <c r="D61" s="11">
        <f t="shared" si="1"/>
        <v>1</v>
      </c>
      <c r="E61" s="11">
        <f t="shared" si="2"/>
        <v>2</v>
      </c>
      <c r="F61" s="11" t="str">
        <f t="shared" si="3"/>
        <v>February</v>
      </c>
      <c r="G61" s="11">
        <f t="shared" si="4"/>
        <v>9</v>
      </c>
      <c r="H61" s="11" t="str">
        <f t="shared" si="5"/>
        <v>Saturday</v>
      </c>
      <c r="I61" s="38" t="str">
        <f t="shared" si="6"/>
        <v>Y</v>
      </c>
    </row>
    <row r="62" spans="2:9" x14ac:dyDescent="0.35">
      <c r="B62" s="37">
        <v>46082</v>
      </c>
      <c r="C62" s="12">
        <f t="shared" si="0"/>
        <v>2026</v>
      </c>
      <c r="D62" s="12">
        <f t="shared" si="1"/>
        <v>1</v>
      </c>
      <c r="E62" s="12">
        <f t="shared" si="2"/>
        <v>3</v>
      </c>
      <c r="F62" s="12" t="str">
        <f t="shared" si="3"/>
        <v>March</v>
      </c>
      <c r="G62" s="12">
        <f t="shared" si="4"/>
        <v>10</v>
      </c>
      <c r="H62" s="12" t="str">
        <f t="shared" si="5"/>
        <v>Sunday</v>
      </c>
      <c r="I62" s="39" t="str">
        <f t="shared" si="6"/>
        <v>N</v>
      </c>
    </row>
    <row r="63" spans="2:9" x14ac:dyDescent="0.35">
      <c r="B63" s="36">
        <v>46083</v>
      </c>
      <c r="C63" s="11">
        <f t="shared" si="0"/>
        <v>2026</v>
      </c>
      <c r="D63" s="11">
        <f t="shared" si="1"/>
        <v>1</v>
      </c>
      <c r="E63" s="11">
        <f t="shared" si="2"/>
        <v>3</v>
      </c>
      <c r="F63" s="11" t="str">
        <f t="shared" si="3"/>
        <v>March</v>
      </c>
      <c r="G63" s="11">
        <f t="shared" si="4"/>
        <v>10</v>
      </c>
      <c r="H63" s="11" t="str">
        <f t="shared" si="5"/>
        <v>Monday</v>
      </c>
      <c r="I63" s="38" t="str">
        <f t="shared" si="6"/>
        <v>N</v>
      </c>
    </row>
    <row r="64" spans="2:9" x14ac:dyDescent="0.35">
      <c r="B64" s="37">
        <v>46084</v>
      </c>
      <c r="C64" s="12">
        <f t="shared" si="0"/>
        <v>2026</v>
      </c>
      <c r="D64" s="12">
        <f t="shared" si="1"/>
        <v>1</v>
      </c>
      <c r="E64" s="12">
        <f t="shared" si="2"/>
        <v>3</v>
      </c>
      <c r="F64" s="12" t="str">
        <f t="shared" si="3"/>
        <v>March</v>
      </c>
      <c r="G64" s="12">
        <f t="shared" si="4"/>
        <v>10</v>
      </c>
      <c r="H64" s="12" t="str">
        <f t="shared" si="5"/>
        <v>Tuesday</v>
      </c>
      <c r="I64" s="39" t="str">
        <f t="shared" si="6"/>
        <v>N</v>
      </c>
    </row>
    <row r="65" spans="2:9" x14ac:dyDescent="0.35">
      <c r="B65" s="36">
        <v>46085</v>
      </c>
      <c r="C65" s="11">
        <f t="shared" si="0"/>
        <v>2026</v>
      </c>
      <c r="D65" s="11">
        <f t="shared" si="1"/>
        <v>1</v>
      </c>
      <c r="E65" s="11">
        <f t="shared" si="2"/>
        <v>3</v>
      </c>
      <c r="F65" s="11" t="str">
        <f t="shared" si="3"/>
        <v>March</v>
      </c>
      <c r="G65" s="11">
        <f t="shared" si="4"/>
        <v>10</v>
      </c>
      <c r="H65" s="11" t="str">
        <f t="shared" si="5"/>
        <v>Wednesday</v>
      </c>
      <c r="I65" s="38" t="str">
        <f t="shared" si="6"/>
        <v>N</v>
      </c>
    </row>
    <row r="66" spans="2:9" x14ac:dyDescent="0.35">
      <c r="B66" s="37">
        <v>46086</v>
      </c>
      <c r="C66" s="12">
        <f t="shared" si="0"/>
        <v>2026</v>
      </c>
      <c r="D66" s="12">
        <f t="shared" si="1"/>
        <v>1</v>
      </c>
      <c r="E66" s="12">
        <f t="shared" si="2"/>
        <v>3</v>
      </c>
      <c r="F66" s="12" t="str">
        <f t="shared" si="3"/>
        <v>March</v>
      </c>
      <c r="G66" s="12">
        <f t="shared" si="4"/>
        <v>10</v>
      </c>
      <c r="H66" s="12" t="str">
        <f t="shared" si="5"/>
        <v>Thursday</v>
      </c>
      <c r="I66" s="39" t="str">
        <f t="shared" si="6"/>
        <v>N</v>
      </c>
    </row>
    <row r="67" spans="2:9" x14ac:dyDescent="0.35">
      <c r="B67" s="36">
        <v>46087</v>
      </c>
      <c r="C67" s="11">
        <f t="shared" ref="C67:C130" si="7">YEAR(B67)</f>
        <v>2026</v>
      </c>
      <c r="D67" s="11">
        <f t="shared" ref="D67:D130" si="8">ROUNDUP(MONTH(B67)/3,0)</f>
        <v>1</v>
      </c>
      <c r="E67" s="11">
        <f t="shared" ref="E67:E130" si="9">MONTH(B67)</f>
        <v>3</v>
      </c>
      <c r="F67" s="11" t="str">
        <f t="shared" ref="F67:F130" si="10">TEXT(B67,"mmmm")</f>
        <v>March</v>
      </c>
      <c r="G67" s="11">
        <f t="shared" ref="G67:G130" si="11">WEEKNUM(B67,1)</f>
        <v>10</v>
      </c>
      <c r="H67" s="11" t="str">
        <f t="shared" ref="H67:H130" si="12">TEXT(B67,"dddd")</f>
        <v>Friday</v>
      </c>
      <c r="I67" s="38" t="str">
        <f t="shared" ref="I67:I130" si="13">IF(OR(WEEKDAY(B67)=6,WEEKDAY(B67)=7),"Y","N")</f>
        <v>Y</v>
      </c>
    </row>
    <row r="68" spans="2:9" x14ac:dyDescent="0.35">
      <c r="B68" s="37">
        <v>46088</v>
      </c>
      <c r="C68" s="12">
        <f t="shared" si="7"/>
        <v>2026</v>
      </c>
      <c r="D68" s="12">
        <f t="shared" si="8"/>
        <v>1</v>
      </c>
      <c r="E68" s="12">
        <f t="shared" si="9"/>
        <v>3</v>
      </c>
      <c r="F68" s="12" t="str">
        <f t="shared" si="10"/>
        <v>March</v>
      </c>
      <c r="G68" s="12">
        <f t="shared" si="11"/>
        <v>10</v>
      </c>
      <c r="H68" s="12" t="str">
        <f t="shared" si="12"/>
        <v>Saturday</v>
      </c>
      <c r="I68" s="39" t="str">
        <f t="shared" si="13"/>
        <v>Y</v>
      </c>
    </row>
    <row r="69" spans="2:9" x14ac:dyDescent="0.35">
      <c r="B69" s="36">
        <v>46089</v>
      </c>
      <c r="C69" s="11">
        <f t="shared" si="7"/>
        <v>2026</v>
      </c>
      <c r="D69" s="11">
        <f t="shared" si="8"/>
        <v>1</v>
      </c>
      <c r="E69" s="11">
        <f t="shared" si="9"/>
        <v>3</v>
      </c>
      <c r="F69" s="11" t="str">
        <f t="shared" si="10"/>
        <v>March</v>
      </c>
      <c r="G69" s="11">
        <f t="shared" si="11"/>
        <v>11</v>
      </c>
      <c r="H69" s="11" t="str">
        <f t="shared" si="12"/>
        <v>Sunday</v>
      </c>
      <c r="I69" s="38" t="str">
        <f t="shared" si="13"/>
        <v>N</v>
      </c>
    </row>
    <row r="70" spans="2:9" x14ac:dyDescent="0.35">
      <c r="B70" s="37">
        <v>46090</v>
      </c>
      <c r="C70" s="12">
        <f t="shared" si="7"/>
        <v>2026</v>
      </c>
      <c r="D70" s="12">
        <f t="shared" si="8"/>
        <v>1</v>
      </c>
      <c r="E70" s="12">
        <f t="shared" si="9"/>
        <v>3</v>
      </c>
      <c r="F70" s="12" t="str">
        <f t="shared" si="10"/>
        <v>March</v>
      </c>
      <c r="G70" s="12">
        <f t="shared" si="11"/>
        <v>11</v>
      </c>
      <c r="H70" s="12" t="str">
        <f t="shared" si="12"/>
        <v>Monday</v>
      </c>
      <c r="I70" s="39" t="str">
        <f t="shared" si="13"/>
        <v>N</v>
      </c>
    </row>
    <row r="71" spans="2:9" x14ac:dyDescent="0.35">
      <c r="B71" s="36">
        <v>46091</v>
      </c>
      <c r="C71" s="11">
        <f t="shared" si="7"/>
        <v>2026</v>
      </c>
      <c r="D71" s="11">
        <f t="shared" si="8"/>
        <v>1</v>
      </c>
      <c r="E71" s="11">
        <f t="shared" si="9"/>
        <v>3</v>
      </c>
      <c r="F71" s="11" t="str">
        <f t="shared" si="10"/>
        <v>March</v>
      </c>
      <c r="G71" s="11">
        <f t="shared" si="11"/>
        <v>11</v>
      </c>
      <c r="H71" s="11" t="str">
        <f t="shared" si="12"/>
        <v>Tuesday</v>
      </c>
      <c r="I71" s="38" t="str">
        <f t="shared" si="13"/>
        <v>N</v>
      </c>
    </row>
    <row r="72" spans="2:9" x14ac:dyDescent="0.35">
      <c r="B72" s="37">
        <v>46092</v>
      </c>
      <c r="C72" s="12">
        <f t="shared" si="7"/>
        <v>2026</v>
      </c>
      <c r="D72" s="12">
        <f t="shared" si="8"/>
        <v>1</v>
      </c>
      <c r="E72" s="12">
        <f t="shared" si="9"/>
        <v>3</v>
      </c>
      <c r="F72" s="12" t="str">
        <f t="shared" si="10"/>
        <v>March</v>
      </c>
      <c r="G72" s="12">
        <f t="shared" si="11"/>
        <v>11</v>
      </c>
      <c r="H72" s="12" t="str">
        <f t="shared" si="12"/>
        <v>Wednesday</v>
      </c>
      <c r="I72" s="39" t="str">
        <f t="shared" si="13"/>
        <v>N</v>
      </c>
    </row>
    <row r="73" spans="2:9" x14ac:dyDescent="0.35">
      <c r="B73" s="36">
        <v>46093</v>
      </c>
      <c r="C73" s="11">
        <f t="shared" si="7"/>
        <v>2026</v>
      </c>
      <c r="D73" s="11">
        <f t="shared" si="8"/>
        <v>1</v>
      </c>
      <c r="E73" s="11">
        <f t="shared" si="9"/>
        <v>3</v>
      </c>
      <c r="F73" s="11" t="str">
        <f t="shared" si="10"/>
        <v>March</v>
      </c>
      <c r="G73" s="11">
        <f t="shared" si="11"/>
        <v>11</v>
      </c>
      <c r="H73" s="11" t="str">
        <f t="shared" si="12"/>
        <v>Thursday</v>
      </c>
      <c r="I73" s="38" t="str">
        <f t="shared" si="13"/>
        <v>N</v>
      </c>
    </row>
    <row r="74" spans="2:9" x14ac:dyDescent="0.35">
      <c r="B74" s="37">
        <v>46094</v>
      </c>
      <c r="C74" s="12">
        <f t="shared" si="7"/>
        <v>2026</v>
      </c>
      <c r="D74" s="12">
        <f t="shared" si="8"/>
        <v>1</v>
      </c>
      <c r="E74" s="12">
        <f t="shared" si="9"/>
        <v>3</v>
      </c>
      <c r="F74" s="12" t="str">
        <f t="shared" si="10"/>
        <v>March</v>
      </c>
      <c r="G74" s="12">
        <f t="shared" si="11"/>
        <v>11</v>
      </c>
      <c r="H74" s="12" t="str">
        <f t="shared" si="12"/>
        <v>Friday</v>
      </c>
      <c r="I74" s="39" t="str">
        <f t="shared" si="13"/>
        <v>Y</v>
      </c>
    </row>
    <row r="75" spans="2:9" x14ac:dyDescent="0.35">
      <c r="B75" s="36">
        <v>46095</v>
      </c>
      <c r="C75" s="11">
        <f t="shared" si="7"/>
        <v>2026</v>
      </c>
      <c r="D75" s="11">
        <f t="shared" si="8"/>
        <v>1</v>
      </c>
      <c r="E75" s="11">
        <f t="shared" si="9"/>
        <v>3</v>
      </c>
      <c r="F75" s="11" t="str">
        <f t="shared" si="10"/>
        <v>March</v>
      </c>
      <c r="G75" s="11">
        <f t="shared" si="11"/>
        <v>11</v>
      </c>
      <c r="H75" s="11" t="str">
        <f t="shared" si="12"/>
        <v>Saturday</v>
      </c>
      <c r="I75" s="38" t="str">
        <f t="shared" si="13"/>
        <v>Y</v>
      </c>
    </row>
    <row r="76" spans="2:9" x14ac:dyDescent="0.35">
      <c r="B76" s="37">
        <v>46096</v>
      </c>
      <c r="C76" s="12">
        <f t="shared" si="7"/>
        <v>2026</v>
      </c>
      <c r="D76" s="12">
        <f t="shared" si="8"/>
        <v>1</v>
      </c>
      <c r="E76" s="12">
        <f t="shared" si="9"/>
        <v>3</v>
      </c>
      <c r="F76" s="12" t="str">
        <f t="shared" si="10"/>
        <v>March</v>
      </c>
      <c r="G76" s="12">
        <f t="shared" si="11"/>
        <v>12</v>
      </c>
      <c r="H76" s="12" t="str">
        <f t="shared" si="12"/>
        <v>Sunday</v>
      </c>
      <c r="I76" s="39" t="str">
        <f t="shared" si="13"/>
        <v>N</v>
      </c>
    </row>
    <row r="77" spans="2:9" x14ac:dyDescent="0.35">
      <c r="B77" s="36">
        <v>46097</v>
      </c>
      <c r="C77" s="11">
        <f t="shared" si="7"/>
        <v>2026</v>
      </c>
      <c r="D77" s="11">
        <f t="shared" si="8"/>
        <v>1</v>
      </c>
      <c r="E77" s="11">
        <f t="shared" si="9"/>
        <v>3</v>
      </c>
      <c r="F77" s="11" t="str">
        <f t="shared" si="10"/>
        <v>March</v>
      </c>
      <c r="G77" s="11">
        <f t="shared" si="11"/>
        <v>12</v>
      </c>
      <c r="H77" s="11" t="str">
        <f t="shared" si="12"/>
        <v>Monday</v>
      </c>
      <c r="I77" s="38" t="str">
        <f t="shared" si="13"/>
        <v>N</v>
      </c>
    </row>
    <row r="78" spans="2:9" x14ac:dyDescent="0.35">
      <c r="B78" s="37">
        <v>46098</v>
      </c>
      <c r="C78" s="12">
        <f t="shared" si="7"/>
        <v>2026</v>
      </c>
      <c r="D78" s="12">
        <f t="shared" si="8"/>
        <v>1</v>
      </c>
      <c r="E78" s="12">
        <f t="shared" si="9"/>
        <v>3</v>
      </c>
      <c r="F78" s="12" t="str">
        <f t="shared" si="10"/>
        <v>March</v>
      </c>
      <c r="G78" s="12">
        <f t="shared" si="11"/>
        <v>12</v>
      </c>
      <c r="H78" s="12" t="str">
        <f t="shared" si="12"/>
        <v>Tuesday</v>
      </c>
      <c r="I78" s="39" t="str">
        <f t="shared" si="13"/>
        <v>N</v>
      </c>
    </row>
    <row r="79" spans="2:9" x14ac:dyDescent="0.35">
      <c r="B79" s="36">
        <v>46099</v>
      </c>
      <c r="C79" s="11">
        <f t="shared" si="7"/>
        <v>2026</v>
      </c>
      <c r="D79" s="11">
        <f t="shared" si="8"/>
        <v>1</v>
      </c>
      <c r="E79" s="11">
        <f t="shared" si="9"/>
        <v>3</v>
      </c>
      <c r="F79" s="11" t="str">
        <f t="shared" si="10"/>
        <v>March</v>
      </c>
      <c r="G79" s="11">
        <f t="shared" si="11"/>
        <v>12</v>
      </c>
      <c r="H79" s="11" t="str">
        <f t="shared" si="12"/>
        <v>Wednesday</v>
      </c>
      <c r="I79" s="38" t="str">
        <f t="shared" si="13"/>
        <v>N</v>
      </c>
    </row>
    <row r="80" spans="2:9" x14ac:dyDescent="0.35">
      <c r="B80" s="37">
        <v>46100</v>
      </c>
      <c r="C80" s="12">
        <f t="shared" si="7"/>
        <v>2026</v>
      </c>
      <c r="D80" s="12">
        <f t="shared" si="8"/>
        <v>1</v>
      </c>
      <c r="E80" s="12">
        <f t="shared" si="9"/>
        <v>3</v>
      </c>
      <c r="F80" s="12" t="str">
        <f t="shared" si="10"/>
        <v>March</v>
      </c>
      <c r="G80" s="12">
        <f t="shared" si="11"/>
        <v>12</v>
      </c>
      <c r="H80" s="12" t="str">
        <f t="shared" si="12"/>
        <v>Thursday</v>
      </c>
      <c r="I80" s="39" t="str">
        <f t="shared" si="13"/>
        <v>N</v>
      </c>
    </row>
    <row r="81" spans="2:9" x14ac:dyDescent="0.35">
      <c r="B81" s="36">
        <v>46101</v>
      </c>
      <c r="C81" s="11">
        <f t="shared" si="7"/>
        <v>2026</v>
      </c>
      <c r="D81" s="11">
        <f t="shared" si="8"/>
        <v>1</v>
      </c>
      <c r="E81" s="11">
        <f t="shared" si="9"/>
        <v>3</v>
      </c>
      <c r="F81" s="11" t="str">
        <f t="shared" si="10"/>
        <v>March</v>
      </c>
      <c r="G81" s="11">
        <f t="shared" si="11"/>
        <v>12</v>
      </c>
      <c r="H81" s="11" t="str">
        <f t="shared" si="12"/>
        <v>Friday</v>
      </c>
      <c r="I81" s="38" t="str">
        <f t="shared" si="13"/>
        <v>Y</v>
      </c>
    </row>
    <row r="82" spans="2:9" x14ac:dyDescent="0.35">
      <c r="B82" s="37">
        <v>46102</v>
      </c>
      <c r="C82" s="12">
        <f t="shared" si="7"/>
        <v>2026</v>
      </c>
      <c r="D82" s="12">
        <f t="shared" si="8"/>
        <v>1</v>
      </c>
      <c r="E82" s="12">
        <f t="shared" si="9"/>
        <v>3</v>
      </c>
      <c r="F82" s="12" t="str">
        <f t="shared" si="10"/>
        <v>March</v>
      </c>
      <c r="G82" s="12">
        <f t="shared" si="11"/>
        <v>12</v>
      </c>
      <c r="H82" s="12" t="str">
        <f t="shared" si="12"/>
        <v>Saturday</v>
      </c>
      <c r="I82" s="39" t="str">
        <f t="shared" si="13"/>
        <v>Y</v>
      </c>
    </row>
    <row r="83" spans="2:9" x14ac:dyDescent="0.35">
      <c r="B83" s="36">
        <v>46103</v>
      </c>
      <c r="C83" s="11">
        <f t="shared" si="7"/>
        <v>2026</v>
      </c>
      <c r="D83" s="11">
        <f t="shared" si="8"/>
        <v>1</v>
      </c>
      <c r="E83" s="11">
        <f t="shared" si="9"/>
        <v>3</v>
      </c>
      <c r="F83" s="11" t="str">
        <f t="shared" si="10"/>
        <v>March</v>
      </c>
      <c r="G83" s="11">
        <f t="shared" si="11"/>
        <v>13</v>
      </c>
      <c r="H83" s="11" t="str">
        <f t="shared" si="12"/>
        <v>Sunday</v>
      </c>
      <c r="I83" s="38" t="str">
        <f t="shared" si="13"/>
        <v>N</v>
      </c>
    </row>
    <row r="84" spans="2:9" x14ac:dyDescent="0.35">
      <c r="B84" s="37">
        <v>46104</v>
      </c>
      <c r="C84" s="12">
        <f t="shared" si="7"/>
        <v>2026</v>
      </c>
      <c r="D84" s="12">
        <f t="shared" si="8"/>
        <v>1</v>
      </c>
      <c r="E84" s="12">
        <f t="shared" si="9"/>
        <v>3</v>
      </c>
      <c r="F84" s="12" t="str">
        <f t="shared" si="10"/>
        <v>March</v>
      </c>
      <c r="G84" s="12">
        <f t="shared" si="11"/>
        <v>13</v>
      </c>
      <c r="H84" s="12" t="str">
        <f t="shared" si="12"/>
        <v>Monday</v>
      </c>
      <c r="I84" s="39" t="str">
        <f t="shared" si="13"/>
        <v>N</v>
      </c>
    </row>
    <row r="85" spans="2:9" x14ac:dyDescent="0.35">
      <c r="B85" s="36">
        <v>46105</v>
      </c>
      <c r="C85" s="11">
        <f t="shared" si="7"/>
        <v>2026</v>
      </c>
      <c r="D85" s="11">
        <f t="shared" si="8"/>
        <v>1</v>
      </c>
      <c r="E85" s="11">
        <f t="shared" si="9"/>
        <v>3</v>
      </c>
      <c r="F85" s="11" t="str">
        <f t="shared" si="10"/>
        <v>March</v>
      </c>
      <c r="G85" s="11">
        <f t="shared" si="11"/>
        <v>13</v>
      </c>
      <c r="H85" s="11" t="str">
        <f t="shared" si="12"/>
        <v>Tuesday</v>
      </c>
      <c r="I85" s="38" t="str">
        <f t="shared" si="13"/>
        <v>N</v>
      </c>
    </row>
    <row r="86" spans="2:9" x14ac:dyDescent="0.35">
      <c r="B86" s="37">
        <v>46106</v>
      </c>
      <c r="C86" s="12">
        <f t="shared" si="7"/>
        <v>2026</v>
      </c>
      <c r="D86" s="12">
        <f t="shared" si="8"/>
        <v>1</v>
      </c>
      <c r="E86" s="12">
        <f t="shared" si="9"/>
        <v>3</v>
      </c>
      <c r="F86" s="12" t="str">
        <f t="shared" si="10"/>
        <v>March</v>
      </c>
      <c r="G86" s="12">
        <f t="shared" si="11"/>
        <v>13</v>
      </c>
      <c r="H86" s="12" t="str">
        <f t="shared" si="12"/>
        <v>Wednesday</v>
      </c>
      <c r="I86" s="39" t="str">
        <f t="shared" si="13"/>
        <v>N</v>
      </c>
    </row>
    <row r="87" spans="2:9" x14ac:dyDescent="0.35">
      <c r="B87" s="36">
        <v>46107</v>
      </c>
      <c r="C87" s="11">
        <f t="shared" si="7"/>
        <v>2026</v>
      </c>
      <c r="D87" s="11">
        <f t="shared" si="8"/>
        <v>1</v>
      </c>
      <c r="E87" s="11">
        <f t="shared" si="9"/>
        <v>3</v>
      </c>
      <c r="F87" s="11" t="str">
        <f t="shared" si="10"/>
        <v>March</v>
      </c>
      <c r="G87" s="11">
        <f t="shared" si="11"/>
        <v>13</v>
      </c>
      <c r="H87" s="11" t="str">
        <f t="shared" si="12"/>
        <v>Thursday</v>
      </c>
      <c r="I87" s="38" t="str">
        <f t="shared" si="13"/>
        <v>N</v>
      </c>
    </row>
    <row r="88" spans="2:9" x14ac:dyDescent="0.35">
      <c r="B88" s="37">
        <v>46108</v>
      </c>
      <c r="C88" s="12">
        <f t="shared" si="7"/>
        <v>2026</v>
      </c>
      <c r="D88" s="12">
        <f t="shared" si="8"/>
        <v>1</v>
      </c>
      <c r="E88" s="12">
        <f t="shared" si="9"/>
        <v>3</v>
      </c>
      <c r="F88" s="12" t="str">
        <f t="shared" si="10"/>
        <v>March</v>
      </c>
      <c r="G88" s="12">
        <f t="shared" si="11"/>
        <v>13</v>
      </c>
      <c r="H88" s="12" t="str">
        <f t="shared" si="12"/>
        <v>Friday</v>
      </c>
      <c r="I88" s="39" t="str">
        <f t="shared" si="13"/>
        <v>Y</v>
      </c>
    </row>
    <row r="89" spans="2:9" x14ac:dyDescent="0.35">
      <c r="B89" s="36">
        <v>46109</v>
      </c>
      <c r="C89" s="11">
        <f t="shared" si="7"/>
        <v>2026</v>
      </c>
      <c r="D89" s="11">
        <f t="shared" si="8"/>
        <v>1</v>
      </c>
      <c r="E89" s="11">
        <f t="shared" si="9"/>
        <v>3</v>
      </c>
      <c r="F89" s="11" t="str">
        <f t="shared" si="10"/>
        <v>March</v>
      </c>
      <c r="G89" s="11">
        <f t="shared" si="11"/>
        <v>13</v>
      </c>
      <c r="H89" s="11" t="str">
        <f t="shared" si="12"/>
        <v>Saturday</v>
      </c>
      <c r="I89" s="38" t="str">
        <f t="shared" si="13"/>
        <v>Y</v>
      </c>
    </row>
    <row r="90" spans="2:9" x14ac:dyDescent="0.35">
      <c r="B90" s="37">
        <v>46110</v>
      </c>
      <c r="C90" s="12">
        <f t="shared" si="7"/>
        <v>2026</v>
      </c>
      <c r="D90" s="12">
        <f t="shared" si="8"/>
        <v>1</v>
      </c>
      <c r="E90" s="12">
        <f t="shared" si="9"/>
        <v>3</v>
      </c>
      <c r="F90" s="12" t="str">
        <f t="shared" si="10"/>
        <v>March</v>
      </c>
      <c r="G90" s="12">
        <f t="shared" si="11"/>
        <v>14</v>
      </c>
      <c r="H90" s="12" t="str">
        <f t="shared" si="12"/>
        <v>Sunday</v>
      </c>
      <c r="I90" s="39" t="str">
        <f t="shared" si="13"/>
        <v>N</v>
      </c>
    </row>
    <row r="91" spans="2:9" x14ac:dyDescent="0.35">
      <c r="B91" s="36">
        <v>46111</v>
      </c>
      <c r="C91" s="11">
        <f t="shared" si="7"/>
        <v>2026</v>
      </c>
      <c r="D91" s="11">
        <f t="shared" si="8"/>
        <v>1</v>
      </c>
      <c r="E91" s="11">
        <f t="shared" si="9"/>
        <v>3</v>
      </c>
      <c r="F91" s="11" t="str">
        <f t="shared" si="10"/>
        <v>March</v>
      </c>
      <c r="G91" s="11">
        <f t="shared" si="11"/>
        <v>14</v>
      </c>
      <c r="H91" s="11" t="str">
        <f t="shared" si="12"/>
        <v>Monday</v>
      </c>
      <c r="I91" s="38" t="str">
        <f t="shared" si="13"/>
        <v>N</v>
      </c>
    </row>
    <row r="92" spans="2:9" x14ac:dyDescent="0.35">
      <c r="B92" s="37">
        <v>46112</v>
      </c>
      <c r="C92" s="12">
        <f t="shared" si="7"/>
        <v>2026</v>
      </c>
      <c r="D92" s="12">
        <f t="shared" si="8"/>
        <v>1</v>
      </c>
      <c r="E92" s="12">
        <f t="shared" si="9"/>
        <v>3</v>
      </c>
      <c r="F92" s="12" t="str">
        <f t="shared" si="10"/>
        <v>March</v>
      </c>
      <c r="G92" s="12">
        <f t="shared" si="11"/>
        <v>14</v>
      </c>
      <c r="H92" s="12" t="str">
        <f t="shared" si="12"/>
        <v>Tuesday</v>
      </c>
      <c r="I92" s="39" t="str">
        <f t="shared" si="13"/>
        <v>N</v>
      </c>
    </row>
    <row r="93" spans="2:9" x14ac:dyDescent="0.35">
      <c r="B93" s="36">
        <v>46113</v>
      </c>
      <c r="C93" s="11">
        <f t="shared" si="7"/>
        <v>2026</v>
      </c>
      <c r="D93" s="11">
        <f t="shared" si="8"/>
        <v>2</v>
      </c>
      <c r="E93" s="11">
        <f t="shared" si="9"/>
        <v>4</v>
      </c>
      <c r="F93" s="11" t="str">
        <f t="shared" si="10"/>
        <v>April</v>
      </c>
      <c r="G93" s="11">
        <f t="shared" si="11"/>
        <v>14</v>
      </c>
      <c r="H93" s="11" t="str">
        <f t="shared" si="12"/>
        <v>Wednesday</v>
      </c>
      <c r="I93" s="38" t="str">
        <f t="shared" si="13"/>
        <v>N</v>
      </c>
    </row>
    <row r="94" spans="2:9" x14ac:dyDescent="0.35">
      <c r="B94" s="37">
        <v>46114</v>
      </c>
      <c r="C94" s="12">
        <f t="shared" si="7"/>
        <v>2026</v>
      </c>
      <c r="D94" s="12">
        <f t="shared" si="8"/>
        <v>2</v>
      </c>
      <c r="E94" s="12">
        <f t="shared" si="9"/>
        <v>4</v>
      </c>
      <c r="F94" s="12" t="str">
        <f t="shared" si="10"/>
        <v>April</v>
      </c>
      <c r="G94" s="12">
        <f t="shared" si="11"/>
        <v>14</v>
      </c>
      <c r="H94" s="12" t="str">
        <f t="shared" si="12"/>
        <v>Thursday</v>
      </c>
      <c r="I94" s="39" t="str">
        <f t="shared" si="13"/>
        <v>N</v>
      </c>
    </row>
    <row r="95" spans="2:9" x14ac:dyDescent="0.35">
      <c r="B95" s="36">
        <v>46115</v>
      </c>
      <c r="C95" s="11">
        <f t="shared" si="7"/>
        <v>2026</v>
      </c>
      <c r="D95" s="11">
        <f t="shared" si="8"/>
        <v>2</v>
      </c>
      <c r="E95" s="11">
        <f t="shared" si="9"/>
        <v>4</v>
      </c>
      <c r="F95" s="11" t="str">
        <f t="shared" si="10"/>
        <v>April</v>
      </c>
      <c r="G95" s="11">
        <f t="shared" si="11"/>
        <v>14</v>
      </c>
      <c r="H95" s="11" t="str">
        <f t="shared" si="12"/>
        <v>Friday</v>
      </c>
      <c r="I95" s="38" t="str">
        <f t="shared" si="13"/>
        <v>Y</v>
      </c>
    </row>
    <row r="96" spans="2:9" x14ac:dyDescent="0.35">
      <c r="B96" s="37">
        <v>46116</v>
      </c>
      <c r="C96" s="12">
        <f t="shared" si="7"/>
        <v>2026</v>
      </c>
      <c r="D96" s="12">
        <f t="shared" si="8"/>
        <v>2</v>
      </c>
      <c r="E96" s="12">
        <f t="shared" si="9"/>
        <v>4</v>
      </c>
      <c r="F96" s="12" t="str">
        <f t="shared" si="10"/>
        <v>April</v>
      </c>
      <c r="G96" s="12">
        <f t="shared" si="11"/>
        <v>14</v>
      </c>
      <c r="H96" s="12" t="str">
        <f t="shared" si="12"/>
        <v>Saturday</v>
      </c>
      <c r="I96" s="39" t="str">
        <f t="shared" si="13"/>
        <v>Y</v>
      </c>
    </row>
    <row r="97" spans="2:9" x14ac:dyDescent="0.35">
      <c r="B97" s="36">
        <v>46117</v>
      </c>
      <c r="C97" s="11">
        <f t="shared" si="7"/>
        <v>2026</v>
      </c>
      <c r="D97" s="11">
        <f t="shared" si="8"/>
        <v>2</v>
      </c>
      <c r="E97" s="11">
        <f t="shared" si="9"/>
        <v>4</v>
      </c>
      <c r="F97" s="11" t="str">
        <f t="shared" si="10"/>
        <v>April</v>
      </c>
      <c r="G97" s="11">
        <f t="shared" si="11"/>
        <v>15</v>
      </c>
      <c r="H97" s="11" t="str">
        <f t="shared" si="12"/>
        <v>Sunday</v>
      </c>
      <c r="I97" s="38" t="str">
        <f t="shared" si="13"/>
        <v>N</v>
      </c>
    </row>
    <row r="98" spans="2:9" x14ac:dyDescent="0.35">
      <c r="B98" s="37">
        <v>46118</v>
      </c>
      <c r="C98" s="12">
        <f t="shared" si="7"/>
        <v>2026</v>
      </c>
      <c r="D98" s="12">
        <f t="shared" si="8"/>
        <v>2</v>
      </c>
      <c r="E98" s="12">
        <f t="shared" si="9"/>
        <v>4</v>
      </c>
      <c r="F98" s="12" t="str">
        <f t="shared" si="10"/>
        <v>April</v>
      </c>
      <c r="G98" s="12">
        <f t="shared" si="11"/>
        <v>15</v>
      </c>
      <c r="H98" s="12" t="str">
        <f t="shared" si="12"/>
        <v>Monday</v>
      </c>
      <c r="I98" s="39" t="str">
        <f t="shared" si="13"/>
        <v>N</v>
      </c>
    </row>
    <row r="99" spans="2:9" x14ac:dyDescent="0.35">
      <c r="B99" s="36">
        <v>46119</v>
      </c>
      <c r="C99" s="11">
        <f t="shared" si="7"/>
        <v>2026</v>
      </c>
      <c r="D99" s="11">
        <f t="shared" si="8"/>
        <v>2</v>
      </c>
      <c r="E99" s="11">
        <f t="shared" si="9"/>
        <v>4</v>
      </c>
      <c r="F99" s="11" t="str">
        <f t="shared" si="10"/>
        <v>April</v>
      </c>
      <c r="G99" s="11">
        <f t="shared" si="11"/>
        <v>15</v>
      </c>
      <c r="H99" s="11" t="str">
        <f t="shared" si="12"/>
        <v>Tuesday</v>
      </c>
      <c r="I99" s="38" t="str">
        <f t="shared" si="13"/>
        <v>N</v>
      </c>
    </row>
    <row r="100" spans="2:9" x14ac:dyDescent="0.35">
      <c r="B100" s="37">
        <v>46120</v>
      </c>
      <c r="C100" s="12">
        <f t="shared" si="7"/>
        <v>2026</v>
      </c>
      <c r="D100" s="12">
        <f t="shared" si="8"/>
        <v>2</v>
      </c>
      <c r="E100" s="12">
        <f t="shared" si="9"/>
        <v>4</v>
      </c>
      <c r="F100" s="12" t="str">
        <f t="shared" si="10"/>
        <v>April</v>
      </c>
      <c r="G100" s="12">
        <f t="shared" si="11"/>
        <v>15</v>
      </c>
      <c r="H100" s="12" t="str">
        <f t="shared" si="12"/>
        <v>Wednesday</v>
      </c>
      <c r="I100" s="39" t="str">
        <f t="shared" si="13"/>
        <v>N</v>
      </c>
    </row>
    <row r="101" spans="2:9" x14ac:dyDescent="0.35">
      <c r="B101" s="36">
        <v>46121</v>
      </c>
      <c r="C101" s="11">
        <f t="shared" si="7"/>
        <v>2026</v>
      </c>
      <c r="D101" s="11">
        <f t="shared" si="8"/>
        <v>2</v>
      </c>
      <c r="E101" s="11">
        <f t="shared" si="9"/>
        <v>4</v>
      </c>
      <c r="F101" s="11" t="str">
        <f t="shared" si="10"/>
        <v>April</v>
      </c>
      <c r="G101" s="11">
        <f t="shared" si="11"/>
        <v>15</v>
      </c>
      <c r="H101" s="11" t="str">
        <f t="shared" si="12"/>
        <v>Thursday</v>
      </c>
      <c r="I101" s="38" t="str">
        <f t="shared" si="13"/>
        <v>N</v>
      </c>
    </row>
    <row r="102" spans="2:9" x14ac:dyDescent="0.35">
      <c r="B102" s="37">
        <v>46122</v>
      </c>
      <c r="C102" s="12">
        <f t="shared" si="7"/>
        <v>2026</v>
      </c>
      <c r="D102" s="12">
        <f t="shared" si="8"/>
        <v>2</v>
      </c>
      <c r="E102" s="12">
        <f t="shared" si="9"/>
        <v>4</v>
      </c>
      <c r="F102" s="12" t="str">
        <f t="shared" si="10"/>
        <v>April</v>
      </c>
      <c r="G102" s="12">
        <f t="shared" si="11"/>
        <v>15</v>
      </c>
      <c r="H102" s="12" t="str">
        <f t="shared" si="12"/>
        <v>Friday</v>
      </c>
      <c r="I102" s="39" t="str">
        <f t="shared" si="13"/>
        <v>Y</v>
      </c>
    </row>
    <row r="103" spans="2:9" x14ac:dyDescent="0.35">
      <c r="B103" s="36">
        <v>46123</v>
      </c>
      <c r="C103" s="11">
        <f t="shared" si="7"/>
        <v>2026</v>
      </c>
      <c r="D103" s="11">
        <f t="shared" si="8"/>
        <v>2</v>
      </c>
      <c r="E103" s="11">
        <f t="shared" si="9"/>
        <v>4</v>
      </c>
      <c r="F103" s="11" t="str">
        <f t="shared" si="10"/>
        <v>April</v>
      </c>
      <c r="G103" s="11">
        <f t="shared" si="11"/>
        <v>15</v>
      </c>
      <c r="H103" s="11" t="str">
        <f t="shared" si="12"/>
        <v>Saturday</v>
      </c>
      <c r="I103" s="38" t="str">
        <f t="shared" si="13"/>
        <v>Y</v>
      </c>
    </row>
    <row r="104" spans="2:9" x14ac:dyDescent="0.35">
      <c r="B104" s="37">
        <v>46124</v>
      </c>
      <c r="C104" s="12">
        <f t="shared" si="7"/>
        <v>2026</v>
      </c>
      <c r="D104" s="12">
        <f t="shared" si="8"/>
        <v>2</v>
      </c>
      <c r="E104" s="12">
        <f t="shared" si="9"/>
        <v>4</v>
      </c>
      <c r="F104" s="12" t="str">
        <f t="shared" si="10"/>
        <v>April</v>
      </c>
      <c r="G104" s="12">
        <f t="shared" si="11"/>
        <v>16</v>
      </c>
      <c r="H104" s="12" t="str">
        <f t="shared" si="12"/>
        <v>Sunday</v>
      </c>
      <c r="I104" s="39" t="str">
        <f t="shared" si="13"/>
        <v>N</v>
      </c>
    </row>
    <row r="105" spans="2:9" x14ac:dyDescent="0.35">
      <c r="B105" s="36">
        <v>46125</v>
      </c>
      <c r="C105" s="11">
        <f t="shared" si="7"/>
        <v>2026</v>
      </c>
      <c r="D105" s="11">
        <f t="shared" si="8"/>
        <v>2</v>
      </c>
      <c r="E105" s="11">
        <f t="shared" si="9"/>
        <v>4</v>
      </c>
      <c r="F105" s="11" t="str">
        <f t="shared" si="10"/>
        <v>April</v>
      </c>
      <c r="G105" s="11">
        <f t="shared" si="11"/>
        <v>16</v>
      </c>
      <c r="H105" s="11" t="str">
        <f t="shared" si="12"/>
        <v>Monday</v>
      </c>
      <c r="I105" s="38" t="str">
        <f t="shared" si="13"/>
        <v>N</v>
      </c>
    </row>
    <row r="106" spans="2:9" x14ac:dyDescent="0.35">
      <c r="B106" s="37">
        <v>46126</v>
      </c>
      <c r="C106" s="12">
        <f t="shared" si="7"/>
        <v>2026</v>
      </c>
      <c r="D106" s="12">
        <f t="shared" si="8"/>
        <v>2</v>
      </c>
      <c r="E106" s="12">
        <f t="shared" si="9"/>
        <v>4</v>
      </c>
      <c r="F106" s="12" t="str">
        <f t="shared" si="10"/>
        <v>April</v>
      </c>
      <c r="G106" s="12">
        <f t="shared" si="11"/>
        <v>16</v>
      </c>
      <c r="H106" s="12" t="str">
        <f t="shared" si="12"/>
        <v>Tuesday</v>
      </c>
      <c r="I106" s="39" t="str">
        <f t="shared" si="13"/>
        <v>N</v>
      </c>
    </row>
    <row r="107" spans="2:9" x14ac:dyDescent="0.35">
      <c r="B107" s="36">
        <v>46127</v>
      </c>
      <c r="C107" s="11">
        <f t="shared" si="7"/>
        <v>2026</v>
      </c>
      <c r="D107" s="11">
        <f t="shared" si="8"/>
        <v>2</v>
      </c>
      <c r="E107" s="11">
        <f t="shared" si="9"/>
        <v>4</v>
      </c>
      <c r="F107" s="11" t="str">
        <f t="shared" si="10"/>
        <v>April</v>
      </c>
      <c r="G107" s="11">
        <f t="shared" si="11"/>
        <v>16</v>
      </c>
      <c r="H107" s="11" t="str">
        <f t="shared" si="12"/>
        <v>Wednesday</v>
      </c>
      <c r="I107" s="38" t="str">
        <f t="shared" si="13"/>
        <v>N</v>
      </c>
    </row>
    <row r="108" spans="2:9" x14ac:dyDescent="0.35">
      <c r="B108" s="37">
        <v>46128</v>
      </c>
      <c r="C108" s="12">
        <f t="shared" si="7"/>
        <v>2026</v>
      </c>
      <c r="D108" s="12">
        <f t="shared" si="8"/>
        <v>2</v>
      </c>
      <c r="E108" s="12">
        <f t="shared" si="9"/>
        <v>4</v>
      </c>
      <c r="F108" s="12" t="str">
        <f t="shared" si="10"/>
        <v>April</v>
      </c>
      <c r="G108" s="12">
        <f t="shared" si="11"/>
        <v>16</v>
      </c>
      <c r="H108" s="12" t="str">
        <f t="shared" si="12"/>
        <v>Thursday</v>
      </c>
      <c r="I108" s="39" t="str">
        <f t="shared" si="13"/>
        <v>N</v>
      </c>
    </row>
    <row r="109" spans="2:9" x14ac:dyDescent="0.35">
      <c r="B109" s="36">
        <v>46129</v>
      </c>
      <c r="C109" s="11">
        <f t="shared" si="7"/>
        <v>2026</v>
      </c>
      <c r="D109" s="11">
        <f t="shared" si="8"/>
        <v>2</v>
      </c>
      <c r="E109" s="11">
        <f t="shared" si="9"/>
        <v>4</v>
      </c>
      <c r="F109" s="11" t="str">
        <f t="shared" si="10"/>
        <v>April</v>
      </c>
      <c r="G109" s="11">
        <f t="shared" si="11"/>
        <v>16</v>
      </c>
      <c r="H109" s="11" t="str">
        <f t="shared" si="12"/>
        <v>Friday</v>
      </c>
      <c r="I109" s="38" t="str">
        <f t="shared" si="13"/>
        <v>Y</v>
      </c>
    </row>
    <row r="110" spans="2:9" x14ac:dyDescent="0.35">
      <c r="B110" s="37">
        <v>46130</v>
      </c>
      <c r="C110" s="12">
        <f t="shared" si="7"/>
        <v>2026</v>
      </c>
      <c r="D110" s="12">
        <f t="shared" si="8"/>
        <v>2</v>
      </c>
      <c r="E110" s="12">
        <f t="shared" si="9"/>
        <v>4</v>
      </c>
      <c r="F110" s="12" t="str">
        <f t="shared" si="10"/>
        <v>April</v>
      </c>
      <c r="G110" s="12">
        <f t="shared" si="11"/>
        <v>16</v>
      </c>
      <c r="H110" s="12" t="str">
        <f t="shared" si="12"/>
        <v>Saturday</v>
      </c>
      <c r="I110" s="39" t="str">
        <f t="shared" si="13"/>
        <v>Y</v>
      </c>
    </row>
    <row r="111" spans="2:9" x14ac:dyDescent="0.35">
      <c r="B111" s="36">
        <v>46131</v>
      </c>
      <c r="C111" s="11">
        <f t="shared" si="7"/>
        <v>2026</v>
      </c>
      <c r="D111" s="11">
        <f t="shared" si="8"/>
        <v>2</v>
      </c>
      <c r="E111" s="11">
        <f t="shared" si="9"/>
        <v>4</v>
      </c>
      <c r="F111" s="11" t="str">
        <f t="shared" si="10"/>
        <v>April</v>
      </c>
      <c r="G111" s="11">
        <f t="shared" si="11"/>
        <v>17</v>
      </c>
      <c r="H111" s="11" t="str">
        <f t="shared" si="12"/>
        <v>Sunday</v>
      </c>
      <c r="I111" s="38" t="str">
        <f t="shared" si="13"/>
        <v>N</v>
      </c>
    </row>
    <row r="112" spans="2:9" x14ac:dyDescent="0.35">
      <c r="B112" s="37">
        <v>46132</v>
      </c>
      <c r="C112" s="12">
        <f t="shared" si="7"/>
        <v>2026</v>
      </c>
      <c r="D112" s="12">
        <f t="shared" si="8"/>
        <v>2</v>
      </c>
      <c r="E112" s="12">
        <f t="shared" si="9"/>
        <v>4</v>
      </c>
      <c r="F112" s="12" t="str">
        <f t="shared" si="10"/>
        <v>April</v>
      </c>
      <c r="G112" s="12">
        <f t="shared" si="11"/>
        <v>17</v>
      </c>
      <c r="H112" s="12" t="str">
        <f t="shared" si="12"/>
        <v>Monday</v>
      </c>
      <c r="I112" s="39" t="str">
        <f t="shared" si="13"/>
        <v>N</v>
      </c>
    </row>
    <row r="113" spans="2:9" x14ac:dyDescent="0.35">
      <c r="B113" s="36">
        <v>46133</v>
      </c>
      <c r="C113" s="11">
        <f t="shared" si="7"/>
        <v>2026</v>
      </c>
      <c r="D113" s="11">
        <f t="shared" si="8"/>
        <v>2</v>
      </c>
      <c r="E113" s="11">
        <f t="shared" si="9"/>
        <v>4</v>
      </c>
      <c r="F113" s="11" t="str">
        <f t="shared" si="10"/>
        <v>April</v>
      </c>
      <c r="G113" s="11">
        <f t="shared" si="11"/>
        <v>17</v>
      </c>
      <c r="H113" s="11" t="str">
        <f t="shared" si="12"/>
        <v>Tuesday</v>
      </c>
      <c r="I113" s="38" t="str">
        <f t="shared" si="13"/>
        <v>N</v>
      </c>
    </row>
    <row r="114" spans="2:9" x14ac:dyDescent="0.35">
      <c r="B114" s="37">
        <v>46134</v>
      </c>
      <c r="C114" s="12">
        <f t="shared" si="7"/>
        <v>2026</v>
      </c>
      <c r="D114" s="12">
        <f t="shared" si="8"/>
        <v>2</v>
      </c>
      <c r="E114" s="12">
        <f t="shared" si="9"/>
        <v>4</v>
      </c>
      <c r="F114" s="12" t="str">
        <f t="shared" si="10"/>
        <v>April</v>
      </c>
      <c r="G114" s="12">
        <f t="shared" si="11"/>
        <v>17</v>
      </c>
      <c r="H114" s="12" t="str">
        <f t="shared" si="12"/>
        <v>Wednesday</v>
      </c>
      <c r="I114" s="39" t="str">
        <f t="shared" si="13"/>
        <v>N</v>
      </c>
    </row>
    <row r="115" spans="2:9" x14ac:dyDescent="0.35">
      <c r="B115" s="36">
        <v>46135</v>
      </c>
      <c r="C115" s="11">
        <f t="shared" si="7"/>
        <v>2026</v>
      </c>
      <c r="D115" s="11">
        <f t="shared" si="8"/>
        <v>2</v>
      </c>
      <c r="E115" s="11">
        <f t="shared" si="9"/>
        <v>4</v>
      </c>
      <c r="F115" s="11" t="str">
        <f t="shared" si="10"/>
        <v>April</v>
      </c>
      <c r="G115" s="11">
        <f t="shared" si="11"/>
        <v>17</v>
      </c>
      <c r="H115" s="11" t="str">
        <f t="shared" si="12"/>
        <v>Thursday</v>
      </c>
      <c r="I115" s="38" t="str">
        <f t="shared" si="13"/>
        <v>N</v>
      </c>
    </row>
    <row r="116" spans="2:9" x14ac:dyDescent="0.35">
      <c r="B116" s="37">
        <v>46136</v>
      </c>
      <c r="C116" s="12">
        <f t="shared" si="7"/>
        <v>2026</v>
      </c>
      <c r="D116" s="12">
        <f t="shared" si="8"/>
        <v>2</v>
      </c>
      <c r="E116" s="12">
        <f t="shared" si="9"/>
        <v>4</v>
      </c>
      <c r="F116" s="12" t="str">
        <f t="shared" si="10"/>
        <v>April</v>
      </c>
      <c r="G116" s="12">
        <f t="shared" si="11"/>
        <v>17</v>
      </c>
      <c r="H116" s="12" t="str">
        <f t="shared" si="12"/>
        <v>Friday</v>
      </c>
      <c r="I116" s="39" t="str">
        <f t="shared" si="13"/>
        <v>Y</v>
      </c>
    </row>
    <row r="117" spans="2:9" x14ac:dyDescent="0.35">
      <c r="B117" s="36">
        <v>46137</v>
      </c>
      <c r="C117" s="11">
        <f t="shared" si="7"/>
        <v>2026</v>
      </c>
      <c r="D117" s="11">
        <f t="shared" si="8"/>
        <v>2</v>
      </c>
      <c r="E117" s="11">
        <f t="shared" si="9"/>
        <v>4</v>
      </c>
      <c r="F117" s="11" t="str">
        <f t="shared" si="10"/>
        <v>April</v>
      </c>
      <c r="G117" s="11">
        <f t="shared" si="11"/>
        <v>17</v>
      </c>
      <c r="H117" s="11" t="str">
        <f t="shared" si="12"/>
        <v>Saturday</v>
      </c>
      <c r="I117" s="38" t="str">
        <f t="shared" si="13"/>
        <v>Y</v>
      </c>
    </row>
    <row r="118" spans="2:9" x14ac:dyDescent="0.35">
      <c r="B118" s="37">
        <v>46138</v>
      </c>
      <c r="C118" s="12">
        <f t="shared" si="7"/>
        <v>2026</v>
      </c>
      <c r="D118" s="12">
        <f t="shared" si="8"/>
        <v>2</v>
      </c>
      <c r="E118" s="12">
        <f t="shared" si="9"/>
        <v>4</v>
      </c>
      <c r="F118" s="12" t="str">
        <f t="shared" si="10"/>
        <v>April</v>
      </c>
      <c r="G118" s="12">
        <f t="shared" si="11"/>
        <v>18</v>
      </c>
      <c r="H118" s="12" t="str">
        <f t="shared" si="12"/>
        <v>Sunday</v>
      </c>
      <c r="I118" s="39" t="str">
        <f t="shared" si="13"/>
        <v>N</v>
      </c>
    </row>
    <row r="119" spans="2:9" x14ac:dyDescent="0.35">
      <c r="B119" s="36">
        <v>46139</v>
      </c>
      <c r="C119" s="11">
        <f t="shared" si="7"/>
        <v>2026</v>
      </c>
      <c r="D119" s="11">
        <f t="shared" si="8"/>
        <v>2</v>
      </c>
      <c r="E119" s="11">
        <f t="shared" si="9"/>
        <v>4</v>
      </c>
      <c r="F119" s="11" t="str">
        <f t="shared" si="10"/>
        <v>April</v>
      </c>
      <c r="G119" s="11">
        <f t="shared" si="11"/>
        <v>18</v>
      </c>
      <c r="H119" s="11" t="str">
        <f t="shared" si="12"/>
        <v>Monday</v>
      </c>
      <c r="I119" s="38" t="str">
        <f t="shared" si="13"/>
        <v>N</v>
      </c>
    </row>
    <row r="120" spans="2:9" x14ac:dyDescent="0.35">
      <c r="B120" s="37">
        <v>46140</v>
      </c>
      <c r="C120" s="12">
        <f t="shared" si="7"/>
        <v>2026</v>
      </c>
      <c r="D120" s="12">
        <f t="shared" si="8"/>
        <v>2</v>
      </c>
      <c r="E120" s="12">
        <f t="shared" si="9"/>
        <v>4</v>
      </c>
      <c r="F120" s="12" t="str">
        <f t="shared" si="10"/>
        <v>April</v>
      </c>
      <c r="G120" s="12">
        <f t="shared" si="11"/>
        <v>18</v>
      </c>
      <c r="H120" s="12" t="str">
        <f t="shared" si="12"/>
        <v>Tuesday</v>
      </c>
      <c r="I120" s="39" t="str">
        <f t="shared" si="13"/>
        <v>N</v>
      </c>
    </row>
    <row r="121" spans="2:9" x14ac:dyDescent="0.35">
      <c r="B121" s="36">
        <v>46141</v>
      </c>
      <c r="C121" s="11">
        <f t="shared" si="7"/>
        <v>2026</v>
      </c>
      <c r="D121" s="11">
        <f t="shared" si="8"/>
        <v>2</v>
      </c>
      <c r="E121" s="11">
        <f t="shared" si="9"/>
        <v>4</v>
      </c>
      <c r="F121" s="11" t="str">
        <f t="shared" si="10"/>
        <v>April</v>
      </c>
      <c r="G121" s="11">
        <f t="shared" si="11"/>
        <v>18</v>
      </c>
      <c r="H121" s="11" t="str">
        <f t="shared" si="12"/>
        <v>Wednesday</v>
      </c>
      <c r="I121" s="38" t="str">
        <f t="shared" si="13"/>
        <v>N</v>
      </c>
    </row>
    <row r="122" spans="2:9" x14ac:dyDescent="0.35">
      <c r="B122" s="37">
        <v>46142</v>
      </c>
      <c r="C122" s="12">
        <f t="shared" si="7"/>
        <v>2026</v>
      </c>
      <c r="D122" s="12">
        <f t="shared" si="8"/>
        <v>2</v>
      </c>
      <c r="E122" s="12">
        <f t="shared" si="9"/>
        <v>4</v>
      </c>
      <c r="F122" s="12" t="str">
        <f t="shared" si="10"/>
        <v>April</v>
      </c>
      <c r="G122" s="12">
        <f t="shared" si="11"/>
        <v>18</v>
      </c>
      <c r="H122" s="12" t="str">
        <f t="shared" si="12"/>
        <v>Thursday</v>
      </c>
      <c r="I122" s="39" t="str">
        <f t="shared" si="13"/>
        <v>N</v>
      </c>
    </row>
    <row r="123" spans="2:9" x14ac:dyDescent="0.35">
      <c r="B123" s="36">
        <v>46143</v>
      </c>
      <c r="C123" s="11">
        <f t="shared" si="7"/>
        <v>2026</v>
      </c>
      <c r="D123" s="11">
        <f t="shared" si="8"/>
        <v>2</v>
      </c>
      <c r="E123" s="11">
        <f t="shared" si="9"/>
        <v>5</v>
      </c>
      <c r="F123" s="11" t="str">
        <f t="shared" si="10"/>
        <v>May</v>
      </c>
      <c r="G123" s="11">
        <f t="shared" si="11"/>
        <v>18</v>
      </c>
      <c r="H123" s="11" t="str">
        <f t="shared" si="12"/>
        <v>Friday</v>
      </c>
      <c r="I123" s="38" t="str">
        <f t="shared" si="13"/>
        <v>Y</v>
      </c>
    </row>
    <row r="124" spans="2:9" x14ac:dyDescent="0.35">
      <c r="B124" s="37">
        <v>46144</v>
      </c>
      <c r="C124" s="12">
        <f t="shared" si="7"/>
        <v>2026</v>
      </c>
      <c r="D124" s="12">
        <f t="shared" si="8"/>
        <v>2</v>
      </c>
      <c r="E124" s="12">
        <f t="shared" si="9"/>
        <v>5</v>
      </c>
      <c r="F124" s="12" t="str">
        <f t="shared" si="10"/>
        <v>May</v>
      </c>
      <c r="G124" s="12">
        <f t="shared" si="11"/>
        <v>18</v>
      </c>
      <c r="H124" s="12" t="str">
        <f t="shared" si="12"/>
        <v>Saturday</v>
      </c>
      <c r="I124" s="39" t="str">
        <f t="shared" si="13"/>
        <v>Y</v>
      </c>
    </row>
    <row r="125" spans="2:9" x14ac:dyDescent="0.35">
      <c r="B125" s="36">
        <v>46145</v>
      </c>
      <c r="C125" s="11">
        <f t="shared" si="7"/>
        <v>2026</v>
      </c>
      <c r="D125" s="11">
        <f t="shared" si="8"/>
        <v>2</v>
      </c>
      <c r="E125" s="11">
        <f t="shared" si="9"/>
        <v>5</v>
      </c>
      <c r="F125" s="11" t="str">
        <f t="shared" si="10"/>
        <v>May</v>
      </c>
      <c r="G125" s="11">
        <f t="shared" si="11"/>
        <v>19</v>
      </c>
      <c r="H125" s="11" t="str">
        <f t="shared" si="12"/>
        <v>Sunday</v>
      </c>
      <c r="I125" s="38" t="str">
        <f t="shared" si="13"/>
        <v>N</v>
      </c>
    </row>
    <row r="126" spans="2:9" x14ac:dyDescent="0.35">
      <c r="B126" s="37">
        <v>46146</v>
      </c>
      <c r="C126" s="12">
        <f t="shared" si="7"/>
        <v>2026</v>
      </c>
      <c r="D126" s="12">
        <f t="shared" si="8"/>
        <v>2</v>
      </c>
      <c r="E126" s="12">
        <f t="shared" si="9"/>
        <v>5</v>
      </c>
      <c r="F126" s="12" t="str">
        <f t="shared" si="10"/>
        <v>May</v>
      </c>
      <c r="G126" s="12">
        <f t="shared" si="11"/>
        <v>19</v>
      </c>
      <c r="H126" s="12" t="str">
        <f t="shared" si="12"/>
        <v>Monday</v>
      </c>
      <c r="I126" s="39" t="str">
        <f t="shared" si="13"/>
        <v>N</v>
      </c>
    </row>
    <row r="127" spans="2:9" x14ac:dyDescent="0.35">
      <c r="B127" s="36">
        <v>46147</v>
      </c>
      <c r="C127" s="11">
        <f t="shared" si="7"/>
        <v>2026</v>
      </c>
      <c r="D127" s="11">
        <f t="shared" si="8"/>
        <v>2</v>
      </c>
      <c r="E127" s="11">
        <f t="shared" si="9"/>
        <v>5</v>
      </c>
      <c r="F127" s="11" t="str">
        <f t="shared" si="10"/>
        <v>May</v>
      </c>
      <c r="G127" s="11">
        <f t="shared" si="11"/>
        <v>19</v>
      </c>
      <c r="H127" s="11" t="str">
        <f t="shared" si="12"/>
        <v>Tuesday</v>
      </c>
      <c r="I127" s="38" t="str">
        <f t="shared" si="13"/>
        <v>N</v>
      </c>
    </row>
    <row r="128" spans="2:9" x14ac:dyDescent="0.35">
      <c r="B128" s="37">
        <v>46148</v>
      </c>
      <c r="C128" s="12">
        <f t="shared" si="7"/>
        <v>2026</v>
      </c>
      <c r="D128" s="12">
        <f t="shared" si="8"/>
        <v>2</v>
      </c>
      <c r="E128" s="12">
        <f t="shared" si="9"/>
        <v>5</v>
      </c>
      <c r="F128" s="12" t="str">
        <f t="shared" si="10"/>
        <v>May</v>
      </c>
      <c r="G128" s="12">
        <f t="shared" si="11"/>
        <v>19</v>
      </c>
      <c r="H128" s="12" t="str">
        <f t="shared" si="12"/>
        <v>Wednesday</v>
      </c>
      <c r="I128" s="39" t="str">
        <f t="shared" si="13"/>
        <v>N</v>
      </c>
    </row>
    <row r="129" spans="2:9" x14ac:dyDescent="0.35">
      <c r="B129" s="36">
        <v>46149</v>
      </c>
      <c r="C129" s="11">
        <f t="shared" si="7"/>
        <v>2026</v>
      </c>
      <c r="D129" s="11">
        <f t="shared" si="8"/>
        <v>2</v>
      </c>
      <c r="E129" s="11">
        <f t="shared" si="9"/>
        <v>5</v>
      </c>
      <c r="F129" s="11" t="str">
        <f t="shared" si="10"/>
        <v>May</v>
      </c>
      <c r="G129" s="11">
        <f t="shared" si="11"/>
        <v>19</v>
      </c>
      <c r="H129" s="11" t="str">
        <f t="shared" si="12"/>
        <v>Thursday</v>
      </c>
      <c r="I129" s="38" t="str">
        <f t="shared" si="13"/>
        <v>N</v>
      </c>
    </row>
    <row r="130" spans="2:9" x14ac:dyDescent="0.35">
      <c r="B130" s="37">
        <v>46150</v>
      </c>
      <c r="C130" s="12">
        <f t="shared" si="7"/>
        <v>2026</v>
      </c>
      <c r="D130" s="12">
        <f t="shared" si="8"/>
        <v>2</v>
      </c>
      <c r="E130" s="12">
        <f t="shared" si="9"/>
        <v>5</v>
      </c>
      <c r="F130" s="12" t="str">
        <f t="shared" si="10"/>
        <v>May</v>
      </c>
      <c r="G130" s="12">
        <f t="shared" si="11"/>
        <v>19</v>
      </c>
      <c r="H130" s="12" t="str">
        <f t="shared" si="12"/>
        <v>Friday</v>
      </c>
      <c r="I130" s="39" t="str">
        <f t="shared" si="13"/>
        <v>Y</v>
      </c>
    </row>
    <row r="131" spans="2:9" x14ac:dyDescent="0.35">
      <c r="B131" s="36">
        <v>46151</v>
      </c>
      <c r="C131" s="11">
        <f t="shared" ref="C131:C194" si="14">YEAR(B131)</f>
        <v>2026</v>
      </c>
      <c r="D131" s="11">
        <f t="shared" ref="D131:D194" si="15">ROUNDUP(MONTH(B131)/3,0)</f>
        <v>2</v>
      </c>
      <c r="E131" s="11">
        <f t="shared" ref="E131:E194" si="16">MONTH(B131)</f>
        <v>5</v>
      </c>
      <c r="F131" s="11" t="str">
        <f t="shared" ref="F131:F194" si="17">TEXT(B131,"mmmm")</f>
        <v>May</v>
      </c>
      <c r="G131" s="11">
        <f t="shared" ref="G131:G194" si="18">WEEKNUM(B131,1)</f>
        <v>19</v>
      </c>
      <c r="H131" s="11" t="str">
        <f t="shared" ref="H131:H194" si="19">TEXT(B131,"dddd")</f>
        <v>Saturday</v>
      </c>
      <c r="I131" s="38" t="str">
        <f t="shared" ref="I131:I194" si="20">IF(OR(WEEKDAY(B131)=6,WEEKDAY(B131)=7),"Y","N")</f>
        <v>Y</v>
      </c>
    </row>
    <row r="132" spans="2:9" x14ac:dyDescent="0.35">
      <c r="B132" s="37">
        <v>46152</v>
      </c>
      <c r="C132" s="12">
        <f t="shared" si="14"/>
        <v>2026</v>
      </c>
      <c r="D132" s="12">
        <f t="shared" si="15"/>
        <v>2</v>
      </c>
      <c r="E132" s="12">
        <f t="shared" si="16"/>
        <v>5</v>
      </c>
      <c r="F132" s="12" t="str">
        <f t="shared" si="17"/>
        <v>May</v>
      </c>
      <c r="G132" s="12">
        <f t="shared" si="18"/>
        <v>20</v>
      </c>
      <c r="H132" s="12" t="str">
        <f t="shared" si="19"/>
        <v>Sunday</v>
      </c>
      <c r="I132" s="39" t="str">
        <f t="shared" si="20"/>
        <v>N</v>
      </c>
    </row>
    <row r="133" spans="2:9" x14ac:dyDescent="0.35">
      <c r="B133" s="36">
        <v>46153</v>
      </c>
      <c r="C133" s="11">
        <f t="shared" si="14"/>
        <v>2026</v>
      </c>
      <c r="D133" s="11">
        <f t="shared" si="15"/>
        <v>2</v>
      </c>
      <c r="E133" s="11">
        <f t="shared" si="16"/>
        <v>5</v>
      </c>
      <c r="F133" s="11" t="str">
        <f t="shared" si="17"/>
        <v>May</v>
      </c>
      <c r="G133" s="11">
        <f t="shared" si="18"/>
        <v>20</v>
      </c>
      <c r="H133" s="11" t="str">
        <f t="shared" si="19"/>
        <v>Monday</v>
      </c>
      <c r="I133" s="38" t="str">
        <f t="shared" si="20"/>
        <v>N</v>
      </c>
    </row>
    <row r="134" spans="2:9" x14ac:dyDescent="0.35">
      <c r="B134" s="37">
        <v>46154</v>
      </c>
      <c r="C134" s="12">
        <f t="shared" si="14"/>
        <v>2026</v>
      </c>
      <c r="D134" s="12">
        <f t="shared" si="15"/>
        <v>2</v>
      </c>
      <c r="E134" s="12">
        <f t="shared" si="16"/>
        <v>5</v>
      </c>
      <c r="F134" s="12" t="str">
        <f t="shared" si="17"/>
        <v>May</v>
      </c>
      <c r="G134" s="12">
        <f t="shared" si="18"/>
        <v>20</v>
      </c>
      <c r="H134" s="12" t="str">
        <f t="shared" si="19"/>
        <v>Tuesday</v>
      </c>
      <c r="I134" s="39" t="str">
        <f t="shared" si="20"/>
        <v>N</v>
      </c>
    </row>
    <row r="135" spans="2:9" x14ac:dyDescent="0.35">
      <c r="B135" s="36">
        <v>46155</v>
      </c>
      <c r="C135" s="11">
        <f t="shared" si="14"/>
        <v>2026</v>
      </c>
      <c r="D135" s="11">
        <f t="shared" si="15"/>
        <v>2</v>
      </c>
      <c r="E135" s="11">
        <f t="shared" si="16"/>
        <v>5</v>
      </c>
      <c r="F135" s="11" t="str">
        <f t="shared" si="17"/>
        <v>May</v>
      </c>
      <c r="G135" s="11">
        <f t="shared" si="18"/>
        <v>20</v>
      </c>
      <c r="H135" s="11" t="str">
        <f t="shared" si="19"/>
        <v>Wednesday</v>
      </c>
      <c r="I135" s="38" t="str">
        <f t="shared" si="20"/>
        <v>N</v>
      </c>
    </row>
    <row r="136" spans="2:9" x14ac:dyDescent="0.35">
      <c r="B136" s="37">
        <v>46156</v>
      </c>
      <c r="C136" s="12">
        <f t="shared" si="14"/>
        <v>2026</v>
      </c>
      <c r="D136" s="12">
        <f t="shared" si="15"/>
        <v>2</v>
      </c>
      <c r="E136" s="12">
        <f t="shared" si="16"/>
        <v>5</v>
      </c>
      <c r="F136" s="12" t="str">
        <f t="shared" si="17"/>
        <v>May</v>
      </c>
      <c r="G136" s="12">
        <f t="shared" si="18"/>
        <v>20</v>
      </c>
      <c r="H136" s="12" t="str">
        <f t="shared" si="19"/>
        <v>Thursday</v>
      </c>
      <c r="I136" s="39" t="str">
        <f t="shared" si="20"/>
        <v>N</v>
      </c>
    </row>
    <row r="137" spans="2:9" x14ac:dyDescent="0.35">
      <c r="B137" s="36">
        <v>46157</v>
      </c>
      <c r="C137" s="11">
        <f t="shared" si="14"/>
        <v>2026</v>
      </c>
      <c r="D137" s="11">
        <f t="shared" si="15"/>
        <v>2</v>
      </c>
      <c r="E137" s="11">
        <f t="shared" si="16"/>
        <v>5</v>
      </c>
      <c r="F137" s="11" t="str">
        <f t="shared" si="17"/>
        <v>May</v>
      </c>
      <c r="G137" s="11">
        <f t="shared" si="18"/>
        <v>20</v>
      </c>
      <c r="H137" s="11" t="str">
        <f t="shared" si="19"/>
        <v>Friday</v>
      </c>
      <c r="I137" s="38" t="str">
        <f t="shared" si="20"/>
        <v>Y</v>
      </c>
    </row>
    <row r="138" spans="2:9" x14ac:dyDescent="0.35">
      <c r="B138" s="37">
        <v>46158</v>
      </c>
      <c r="C138" s="12">
        <f t="shared" si="14"/>
        <v>2026</v>
      </c>
      <c r="D138" s="12">
        <f t="shared" si="15"/>
        <v>2</v>
      </c>
      <c r="E138" s="12">
        <f t="shared" si="16"/>
        <v>5</v>
      </c>
      <c r="F138" s="12" t="str">
        <f t="shared" si="17"/>
        <v>May</v>
      </c>
      <c r="G138" s="12">
        <f t="shared" si="18"/>
        <v>20</v>
      </c>
      <c r="H138" s="12" t="str">
        <f t="shared" si="19"/>
        <v>Saturday</v>
      </c>
      <c r="I138" s="39" t="str">
        <f t="shared" si="20"/>
        <v>Y</v>
      </c>
    </row>
    <row r="139" spans="2:9" x14ac:dyDescent="0.35">
      <c r="B139" s="36">
        <v>46159</v>
      </c>
      <c r="C139" s="11">
        <f t="shared" si="14"/>
        <v>2026</v>
      </c>
      <c r="D139" s="11">
        <f t="shared" si="15"/>
        <v>2</v>
      </c>
      <c r="E139" s="11">
        <f t="shared" si="16"/>
        <v>5</v>
      </c>
      <c r="F139" s="11" t="str">
        <f t="shared" si="17"/>
        <v>May</v>
      </c>
      <c r="G139" s="11">
        <f t="shared" si="18"/>
        <v>21</v>
      </c>
      <c r="H139" s="11" t="str">
        <f t="shared" si="19"/>
        <v>Sunday</v>
      </c>
      <c r="I139" s="38" t="str">
        <f t="shared" si="20"/>
        <v>N</v>
      </c>
    </row>
    <row r="140" spans="2:9" x14ac:dyDescent="0.35">
      <c r="B140" s="37">
        <v>46160</v>
      </c>
      <c r="C140" s="12">
        <f t="shared" si="14"/>
        <v>2026</v>
      </c>
      <c r="D140" s="12">
        <f t="shared" si="15"/>
        <v>2</v>
      </c>
      <c r="E140" s="12">
        <f t="shared" si="16"/>
        <v>5</v>
      </c>
      <c r="F140" s="12" t="str">
        <f t="shared" si="17"/>
        <v>May</v>
      </c>
      <c r="G140" s="12">
        <f t="shared" si="18"/>
        <v>21</v>
      </c>
      <c r="H140" s="12" t="str">
        <f t="shared" si="19"/>
        <v>Monday</v>
      </c>
      <c r="I140" s="39" t="str">
        <f t="shared" si="20"/>
        <v>N</v>
      </c>
    </row>
    <row r="141" spans="2:9" x14ac:dyDescent="0.35">
      <c r="B141" s="36">
        <v>46161</v>
      </c>
      <c r="C141" s="11">
        <f t="shared" si="14"/>
        <v>2026</v>
      </c>
      <c r="D141" s="11">
        <f t="shared" si="15"/>
        <v>2</v>
      </c>
      <c r="E141" s="11">
        <f t="shared" si="16"/>
        <v>5</v>
      </c>
      <c r="F141" s="11" t="str">
        <f t="shared" si="17"/>
        <v>May</v>
      </c>
      <c r="G141" s="11">
        <f t="shared" si="18"/>
        <v>21</v>
      </c>
      <c r="H141" s="11" t="str">
        <f t="shared" si="19"/>
        <v>Tuesday</v>
      </c>
      <c r="I141" s="38" t="str">
        <f t="shared" si="20"/>
        <v>N</v>
      </c>
    </row>
    <row r="142" spans="2:9" x14ac:dyDescent="0.35">
      <c r="B142" s="37">
        <v>46162</v>
      </c>
      <c r="C142" s="12">
        <f t="shared" si="14"/>
        <v>2026</v>
      </c>
      <c r="D142" s="12">
        <f t="shared" si="15"/>
        <v>2</v>
      </c>
      <c r="E142" s="12">
        <f t="shared" si="16"/>
        <v>5</v>
      </c>
      <c r="F142" s="12" t="str">
        <f t="shared" si="17"/>
        <v>May</v>
      </c>
      <c r="G142" s="12">
        <f t="shared" si="18"/>
        <v>21</v>
      </c>
      <c r="H142" s="12" t="str">
        <f t="shared" si="19"/>
        <v>Wednesday</v>
      </c>
      <c r="I142" s="39" t="str">
        <f t="shared" si="20"/>
        <v>N</v>
      </c>
    </row>
    <row r="143" spans="2:9" x14ac:dyDescent="0.35">
      <c r="B143" s="36">
        <v>46163</v>
      </c>
      <c r="C143" s="11">
        <f t="shared" si="14"/>
        <v>2026</v>
      </c>
      <c r="D143" s="11">
        <f t="shared" si="15"/>
        <v>2</v>
      </c>
      <c r="E143" s="11">
        <f t="shared" si="16"/>
        <v>5</v>
      </c>
      <c r="F143" s="11" t="str">
        <f t="shared" si="17"/>
        <v>May</v>
      </c>
      <c r="G143" s="11">
        <f t="shared" si="18"/>
        <v>21</v>
      </c>
      <c r="H143" s="11" t="str">
        <f t="shared" si="19"/>
        <v>Thursday</v>
      </c>
      <c r="I143" s="38" t="str">
        <f t="shared" si="20"/>
        <v>N</v>
      </c>
    </row>
    <row r="144" spans="2:9" x14ac:dyDescent="0.35">
      <c r="B144" s="37">
        <v>46164</v>
      </c>
      <c r="C144" s="12">
        <f t="shared" si="14"/>
        <v>2026</v>
      </c>
      <c r="D144" s="12">
        <f t="shared" si="15"/>
        <v>2</v>
      </c>
      <c r="E144" s="12">
        <f t="shared" si="16"/>
        <v>5</v>
      </c>
      <c r="F144" s="12" t="str">
        <f t="shared" si="17"/>
        <v>May</v>
      </c>
      <c r="G144" s="12">
        <f t="shared" si="18"/>
        <v>21</v>
      </c>
      <c r="H144" s="12" t="str">
        <f t="shared" si="19"/>
        <v>Friday</v>
      </c>
      <c r="I144" s="39" t="str">
        <f t="shared" si="20"/>
        <v>Y</v>
      </c>
    </row>
    <row r="145" spans="2:9" x14ac:dyDescent="0.35">
      <c r="B145" s="36">
        <v>46165</v>
      </c>
      <c r="C145" s="11">
        <f t="shared" si="14"/>
        <v>2026</v>
      </c>
      <c r="D145" s="11">
        <f t="shared" si="15"/>
        <v>2</v>
      </c>
      <c r="E145" s="11">
        <f t="shared" si="16"/>
        <v>5</v>
      </c>
      <c r="F145" s="11" t="str">
        <f t="shared" si="17"/>
        <v>May</v>
      </c>
      <c r="G145" s="11">
        <f t="shared" si="18"/>
        <v>21</v>
      </c>
      <c r="H145" s="11" t="str">
        <f t="shared" si="19"/>
        <v>Saturday</v>
      </c>
      <c r="I145" s="38" t="str">
        <f t="shared" si="20"/>
        <v>Y</v>
      </c>
    </row>
    <row r="146" spans="2:9" x14ac:dyDescent="0.35">
      <c r="B146" s="37">
        <v>46166</v>
      </c>
      <c r="C146" s="12">
        <f t="shared" si="14"/>
        <v>2026</v>
      </c>
      <c r="D146" s="12">
        <f t="shared" si="15"/>
        <v>2</v>
      </c>
      <c r="E146" s="12">
        <f t="shared" si="16"/>
        <v>5</v>
      </c>
      <c r="F146" s="12" t="str">
        <f t="shared" si="17"/>
        <v>May</v>
      </c>
      <c r="G146" s="12">
        <f t="shared" si="18"/>
        <v>22</v>
      </c>
      <c r="H146" s="12" t="str">
        <f t="shared" si="19"/>
        <v>Sunday</v>
      </c>
      <c r="I146" s="39" t="str">
        <f t="shared" si="20"/>
        <v>N</v>
      </c>
    </row>
    <row r="147" spans="2:9" x14ac:dyDescent="0.35">
      <c r="B147" s="36">
        <v>46167</v>
      </c>
      <c r="C147" s="11">
        <f t="shared" si="14"/>
        <v>2026</v>
      </c>
      <c r="D147" s="11">
        <f t="shared" si="15"/>
        <v>2</v>
      </c>
      <c r="E147" s="11">
        <f t="shared" si="16"/>
        <v>5</v>
      </c>
      <c r="F147" s="11" t="str">
        <f t="shared" si="17"/>
        <v>May</v>
      </c>
      <c r="G147" s="11">
        <f t="shared" si="18"/>
        <v>22</v>
      </c>
      <c r="H147" s="11" t="str">
        <f t="shared" si="19"/>
        <v>Monday</v>
      </c>
      <c r="I147" s="38" t="str">
        <f t="shared" si="20"/>
        <v>N</v>
      </c>
    </row>
    <row r="148" spans="2:9" x14ac:dyDescent="0.35">
      <c r="B148" s="37">
        <v>46168</v>
      </c>
      <c r="C148" s="12">
        <f t="shared" si="14"/>
        <v>2026</v>
      </c>
      <c r="D148" s="12">
        <f t="shared" si="15"/>
        <v>2</v>
      </c>
      <c r="E148" s="12">
        <f t="shared" si="16"/>
        <v>5</v>
      </c>
      <c r="F148" s="12" t="str">
        <f t="shared" si="17"/>
        <v>May</v>
      </c>
      <c r="G148" s="12">
        <f t="shared" si="18"/>
        <v>22</v>
      </c>
      <c r="H148" s="12" t="str">
        <f t="shared" si="19"/>
        <v>Tuesday</v>
      </c>
      <c r="I148" s="39" t="str">
        <f t="shared" si="20"/>
        <v>N</v>
      </c>
    </row>
    <row r="149" spans="2:9" x14ac:dyDescent="0.35">
      <c r="B149" s="36">
        <v>46169</v>
      </c>
      <c r="C149" s="11">
        <f t="shared" si="14"/>
        <v>2026</v>
      </c>
      <c r="D149" s="11">
        <f t="shared" si="15"/>
        <v>2</v>
      </c>
      <c r="E149" s="11">
        <f t="shared" si="16"/>
        <v>5</v>
      </c>
      <c r="F149" s="11" t="str">
        <f t="shared" si="17"/>
        <v>May</v>
      </c>
      <c r="G149" s="11">
        <f t="shared" si="18"/>
        <v>22</v>
      </c>
      <c r="H149" s="11" t="str">
        <f t="shared" si="19"/>
        <v>Wednesday</v>
      </c>
      <c r="I149" s="38" t="str">
        <f t="shared" si="20"/>
        <v>N</v>
      </c>
    </row>
    <row r="150" spans="2:9" x14ac:dyDescent="0.35">
      <c r="B150" s="37">
        <v>46170</v>
      </c>
      <c r="C150" s="12">
        <f t="shared" si="14"/>
        <v>2026</v>
      </c>
      <c r="D150" s="12">
        <f t="shared" si="15"/>
        <v>2</v>
      </c>
      <c r="E150" s="12">
        <f t="shared" si="16"/>
        <v>5</v>
      </c>
      <c r="F150" s="12" t="str">
        <f t="shared" si="17"/>
        <v>May</v>
      </c>
      <c r="G150" s="12">
        <f t="shared" si="18"/>
        <v>22</v>
      </c>
      <c r="H150" s="12" t="str">
        <f t="shared" si="19"/>
        <v>Thursday</v>
      </c>
      <c r="I150" s="39" t="str">
        <f t="shared" si="20"/>
        <v>N</v>
      </c>
    </row>
    <row r="151" spans="2:9" x14ac:dyDescent="0.35">
      <c r="B151" s="36">
        <v>46171</v>
      </c>
      <c r="C151" s="11">
        <f t="shared" si="14"/>
        <v>2026</v>
      </c>
      <c r="D151" s="11">
        <f t="shared" si="15"/>
        <v>2</v>
      </c>
      <c r="E151" s="11">
        <f t="shared" si="16"/>
        <v>5</v>
      </c>
      <c r="F151" s="11" t="str">
        <f t="shared" si="17"/>
        <v>May</v>
      </c>
      <c r="G151" s="11">
        <f t="shared" si="18"/>
        <v>22</v>
      </c>
      <c r="H151" s="11" t="str">
        <f t="shared" si="19"/>
        <v>Friday</v>
      </c>
      <c r="I151" s="38" t="str">
        <f t="shared" si="20"/>
        <v>Y</v>
      </c>
    </row>
    <row r="152" spans="2:9" x14ac:dyDescent="0.35">
      <c r="B152" s="37">
        <v>46172</v>
      </c>
      <c r="C152" s="12">
        <f t="shared" si="14"/>
        <v>2026</v>
      </c>
      <c r="D152" s="12">
        <f t="shared" si="15"/>
        <v>2</v>
      </c>
      <c r="E152" s="12">
        <f t="shared" si="16"/>
        <v>5</v>
      </c>
      <c r="F152" s="12" t="str">
        <f t="shared" si="17"/>
        <v>May</v>
      </c>
      <c r="G152" s="12">
        <f t="shared" si="18"/>
        <v>22</v>
      </c>
      <c r="H152" s="12" t="str">
        <f t="shared" si="19"/>
        <v>Saturday</v>
      </c>
      <c r="I152" s="39" t="str">
        <f t="shared" si="20"/>
        <v>Y</v>
      </c>
    </row>
    <row r="153" spans="2:9" x14ac:dyDescent="0.35">
      <c r="B153" s="36">
        <v>46173</v>
      </c>
      <c r="C153" s="11">
        <f t="shared" si="14"/>
        <v>2026</v>
      </c>
      <c r="D153" s="11">
        <f t="shared" si="15"/>
        <v>2</v>
      </c>
      <c r="E153" s="11">
        <f t="shared" si="16"/>
        <v>5</v>
      </c>
      <c r="F153" s="11" t="str">
        <f t="shared" si="17"/>
        <v>May</v>
      </c>
      <c r="G153" s="11">
        <f t="shared" si="18"/>
        <v>23</v>
      </c>
      <c r="H153" s="11" t="str">
        <f t="shared" si="19"/>
        <v>Sunday</v>
      </c>
      <c r="I153" s="38" t="str">
        <f t="shared" si="20"/>
        <v>N</v>
      </c>
    </row>
    <row r="154" spans="2:9" x14ac:dyDescent="0.35">
      <c r="B154" s="37">
        <v>46174</v>
      </c>
      <c r="C154" s="12">
        <f t="shared" si="14"/>
        <v>2026</v>
      </c>
      <c r="D154" s="12">
        <f t="shared" si="15"/>
        <v>2</v>
      </c>
      <c r="E154" s="12">
        <f t="shared" si="16"/>
        <v>6</v>
      </c>
      <c r="F154" s="12" t="str">
        <f t="shared" si="17"/>
        <v>June</v>
      </c>
      <c r="G154" s="12">
        <f t="shared" si="18"/>
        <v>23</v>
      </c>
      <c r="H154" s="12" t="str">
        <f t="shared" si="19"/>
        <v>Monday</v>
      </c>
      <c r="I154" s="39" t="str">
        <f t="shared" si="20"/>
        <v>N</v>
      </c>
    </row>
    <row r="155" spans="2:9" x14ac:dyDescent="0.35">
      <c r="B155" s="36">
        <v>46175</v>
      </c>
      <c r="C155" s="11">
        <f t="shared" si="14"/>
        <v>2026</v>
      </c>
      <c r="D155" s="11">
        <f t="shared" si="15"/>
        <v>2</v>
      </c>
      <c r="E155" s="11">
        <f t="shared" si="16"/>
        <v>6</v>
      </c>
      <c r="F155" s="11" t="str">
        <f t="shared" si="17"/>
        <v>June</v>
      </c>
      <c r="G155" s="11">
        <f t="shared" si="18"/>
        <v>23</v>
      </c>
      <c r="H155" s="11" t="str">
        <f t="shared" si="19"/>
        <v>Tuesday</v>
      </c>
      <c r="I155" s="38" t="str">
        <f t="shared" si="20"/>
        <v>N</v>
      </c>
    </row>
    <row r="156" spans="2:9" x14ac:dyDescent="0.35">
      <c r="B156" s="37">
        <v>46176</v>
      </c>
      <c r="C156" s="12">
        <f t="shared" si="14"/>
        <v>2026</v>
      </c>
      <c r="D156" s="12">
        <f t="shared" si="15"/>
        <v>2</v>
      </c>
      <c r="E156" s="12">
        <f t="shared" si="16"/>
        <v>6</v>
      </c>
      <c r="F156" s="12" t="str">
        <f t="shared" si="17"/>
        <v>June</v>
      </c>
      <c r="G156" s="12">
        <f t="shared" si="18"/>
        <v>23</v>
      </c>
      <c r="H156" s="12" t="str">
        <f t="shared" si="19"/>
        <v>Wednesday</v>
      </c>
      <c r="I156" s="39" t="str">
        <f t="shared" si="20"/>
        <v>N</v>
      </c>
    </row>
    <row r="157" spans="2:9" x14ac:dyDescent="0.35">
      <c r="B157" s="36">
        <v>46177</v>
      </c>
      <c r="C157" s="11">
        <f t="shared" si="14"/>
        <v>2026</v>
      </c>
      <c r="D157" s="11">
        <f t="shared" si="15"/>
        <v>2</v>
      </c>
      <c r="E157" s="11">
        <f t="shared" si="16"/>
        <v>6</v>
      </c>
      <c r="F157" s="11" t="str">
        <f t="shared" si="17"/>
        <v>June</v>
      </c>
      <c r="G157" s="11">
        <f t="shared" si="18"/>
        <v>23</v>
      </c>
      <c r="H157" s="11" t="str">
        <f t="shared" si="19"/>
        <v>Thursday</v>
      </c>
      <c r="I157" s="38" t="str">
        <f t="shared" si="20"/>
        <v>N</v>
      </c>
    </row>
    <row r="158" spans="2:9" x14ac:dyDescent="0.35">
      <c r="B158" s="37">
        <v>46178</v>
      </c>
      <c r="C158" s="12">
        <f t="shared" si="14"/>
        <v>2026</v>
      </c>
      <c r="D158" s="12">
        <f t="shared" si="15"/>
        <v>2</v>
      </c>
      <c r="E158" s="12">
        <f t="shared" si="16"/>
        <v>6</v>
      </c>
      <c r="F158" s="12" t="str">
        <f t="shared" si="17"/>
        <v>June</v>
      </c>
      <c r="G158" s="12">
        <f t="shared" si="18"/>
        <v>23</v>
      </c>
      <c r="H158" s="12" t="str">
        <f t="shared" si="19"/>
        <v>Friday</v>
      </c>
      <c r="I158" s="39" t="str">
        <f t="shared" si="20"/>
        <v>Y</v>
      </c>
    </row>
    <row r="159" spans="2:9" x14ac:dyDescent="0.35">
      <c r="B159" s="36">
        <v>46179</v>
      </c>
      <c r="C159" s="11">
        <f t="shared" si="14"/>
        <v>2026</v>
      </c>
      <c r="D159" s="11">
        <f t="shared" si="15"/>
        <v>2</v>
      </c>
      <c r="E159" s="11">
        <f t="shared" si="16"/>
        <v>6</v>
      </c>
      <c r="F159" s="11" t="str">
        <f t="shared" si="17"/>
        <v>June</v>
      </c>
      <c r="G159" s="11">
        <f t="shared" si="18"/>
        <v>23</v>
      </c>
      <c r="H159" s="11" t="str">
        <f t="shared" si="19"/>
        <v>Saturday</v>
      </c>
      <c r="I159" s="38" t="str">
        <f t="shared" si="20"/>
        <v>Y</v>
      </c>
    </row>
    <row r="160" spans="2:9" x14ac:dyDescent="0.35">
      <c r="B160" s="37">
        <v>46180</v>
      </c>
      <c r="C160" s="12">
        <f t="shared" si="14"/>
        <v>2026</v>
      </c>
      <c r="D160" s="12">
        <f t="shared" si="15"/>
        <v>2</v>
      </c>
      <c r="E160" s="12">
        <f t="shared" si="16"/>
        <v>6</v>
      </c>
      <c r="F160" s="12" t="str">
        <f t="shared" si="17"/>
        <v>June</v>
      </c>
      <c r="G160" s="12">
        <f t="shared" si="18"/>
        <v>24</v>
      </c>
      <c r="H160" s="12" t="str">
        <f t="shared" si="19"/>
        <v>Sunday</v>
      </c>
      <c r="I160" s="39" t="str">
        <f t="shared" si="20"/>
        <v>N</v>
      </c>
    </row>
    <row r="161" spans="2:9" x14ac:dyDescent="0.35">
      <c r="B161" s="36">
        <v>46181</v>
      </c>
      <c r="C161" s="11">
        <f t="shared" si="14"/>
        <v>2026</v>
      </c>
      <c r="D161" s="11">
        <f t="shared" si="15"/>
        <v>2</v>
      </c>
      <c r="E161" s="11">
        <f t="shared" si="16"/>
        <v>6</v>
      </c>
      <c r="F161" s="11" t="str">
        <f t="shared" si="17"/>
        <v>June</v>
      </c>
      <c r="G161" s="11">
        <f t="shared" si="18"/>
        <v>24</v>
      </c>
      <c r="H161" s="11" t="str">
        <f t="shared" si="19"/>
        <v>Monday</v>
      </c>
      <c r="I161" s="38" t="str">
        <f t="shared" si="20"/>
        <v>N</v>
      </c>
    </row>
    <row r="162" spans="2:9" x14ac:dyDescent="0.35">
      <c r="B162" s="37">
        <v>46182</v>
      </c>
      <c r="C162" s="12">
        <f t="shared" si="14"/>
        <v>2026</v>
      </c>
      <c r="D162" s="12">
        <f t="shared" si="15"/>
        <v>2</v>
      </c>
      <c r="E162" s="12">
        <f t="shared" si="16"/>
        <v>6</v>
      </c>
      <c r="F162" s="12" t="str">
        <f t="shared" si="17"/>
        <v>June</v>
      </c>
      <c r="G162" s="12">
        <f t="shared" si="18"/>
        <v>24</v>
      </c>
      <c r="H162" s="12" t="str">
        <f t="shared" si="19"/>
        <v>Tuesday</v>
      </c>
      <c r="I162" s="39" t="str">
        <f t="shared" si="20"/>
        <v>N</v>
      </c>
    </row>
    <row r="163" spans="2:9" x14ac:dyDescent="0.35">
      <c r="B163" s="36">
        <v>46183</v>
      </c>
      <c r="C163" s="11">
        <f t="shared" si="14"/>
        <v>2026</v>
      </c>
      <c r="D163" s="11">
        <f t="shared" si="15"/>
        <v>2</v>
      </c>
      <c r="E163" s="11">
        <f t="shared" si="16"/>
        <v>6</v>
      </c>
      <c r="F163" s="11" t="str">
        <f t="shared" si="17"/>
        <v>June</v>
      </c>
      <c r="G163" s="11">
        <f t="shared" si="18"/>
        <v>24</v>
      </c>
      <c r="H163" s="11" t="str">
        <f t="shared" si="19"/>
        <v>Wednesday</v>
      </c>
      <c r="I163" s="38" t="str">
        <f t="shared" si="20"/>
        <v>N</v>
      </c>
    </row>
    <row r="164" spans="2:9" x14ac:dyDescent="0.35">
      <c r="B164" s="37">
        <v>46184</v>
      </c>
      <c r="C164" s="12">
        <f t="shared" si="14"/>
        <v>2026</v>
      </c>
      <c r="D164" s="12">
        <f t="shared" si="15"/>
        <v>2</v>
      </c>
      <c r="E164" s="12">
        <f t="shared" si="16"/>
        <v>6</v>
      </c>
      <c r="F164" s="12" t="str">
        <f t="shared" si="17"/>
        <v>June</v>
      </c>
      <c r="G164" s="12">
        <f t="shared" si="18"/>
        <v>24</v>
      </c>
      <c r="H164" s="12" t="str">
        <f t="shared" si="19"/>
        <v>Thursday</v>
      </c>
      <c r="I164" s="39" t="str">
        <f t="shared" si="20"/>
        <v>N</v>
      </c>
    </row>
    <row r="165" spans="2:9" x14ac:dyDescent="0.35">
      <c r="B165" s="36">
        <v>46185</v>
      </c>
      <c r="C165" s="11">
        <f t="shared" si="14"/>
        <v>2026</v>
      </c>
      <c r="D165" s="11">
        <f t="shared" si="15"/>
        <v>2</v>
      </c>
      <c r="E165" s="11">
        <f t="shared" si="16"/>
        <v>6</v>
      </c>
      <c r="F165" s="11" t="str">
        <f t="shared" si="17"/>
        <v>June</v>
      </c>
      <c r="G165" s="11">
        <f t="shared" si="18"/>
        <v>24</v>
      </c>
      <c r="H165" s="11" t="str">
        <f t="shared" si="19"/>
        <v>Friday</v>
      </c>
      <c r="I165" s="38" t="str">
        <f t="shared" si="20"/>
        <v>Y</v>
      </c>
    </row>
    <row r="166" spans="2:9" x14ac:dyDescent="0.35">
      <c r="B166" s="37">
        <v>46186</v>
      </c>
      <c r="C166" s="12">
        <f t="shared" si="14"/>
        <v>2026</v>
      </c>
      <c r="D166" s="12">
        <f t="shared" si="15"/>
        <v>2</v>
      </c>
      <c r="E166" s="12">
        <f t="shared" si="16"/>
        <v>6</v>
      </c>
      <c r="F166" s="12" t="str">
        <f t="shared" si="17"/>
        <v>June</v>
      </c>
      <c r="G166" s="12">
        <f t="shared" si="18"/>
        <v>24</v>
      </c>
      <c r="H166" s="12" t="str">
        <f t="shared" si="19"/>
        <v>Saturday</v>
      </c>
      <c r="I166" s="39" t="str">
        <f t="shared" si="20"/>
        <v>Y</v>
      </c>
    </row>
    <row r="167" spans="2:9" x14ac:dyDescent="0.35">
      <c r="B167" s="36">
        <v>46187</v>
      </c>
      <c r="C167" s="11">
        <f t="shared" si="14"/>
        <v>2026</v>
      </c>
      <c r="D167" s="11">
        <f t="shared" si="15"/>
        <v>2</v>
      </c>
      <c r="E167" s="11">
        <f t="shared" si="16"/>
        <v>6</v>
      </c>
      <c r="F167" s="11" t="str">
        <f t="shared" si="17"/>
        <v>June</v>
      </c>
      <c r="G167" s="11">
        <f t="shared" si="18"/>
        <v>25</v>
      </c>
      <c r="H167" s="11" t="str">
        <f t="shared" si="19"/>
        <v>Sunday</v>
      </c>
      <c r="I167" s="38" t="str">
        <f t="shared" si="20"/>
        <v>N</v>
      </c>
    </row>
    <row r="168" spans="2:9" x14ac:dyDescent="0.35">
      <c r="B168" s="37">
        <v>46188</v>
      </c>
      <c r="C168" s="12">
        <f t="shared" si="14"/>
        <v>2026</v>
      </c>
      <c r="D168" s="12">
        <f t="shared" si="15"/>
        <v>2</v>
      </c>
      <c r="E168" s="12">
        <f t="shared" si="16"/>
        <v>6</v>
      </c>
      <c r="F168" s="12" t="str">
        <f t="shared" si="17"/>
        <v>June</v>
      </c>
      <c r="G168" s="12">
        <f t="shared" si="18"/>
        <v>25</v>
      </c>
      <c r="H168" s="12" t="str">
        <f t="shared" si="19"/>
        <v>Monday</v>
      </c>
      <c r="I168" s="39" t="str">
        <f t="shared" si="20"/>
        <v>N</v>
      </c>
    </row>
    <row r="169" spans="2:9" x14ac:dyDescent="0.35">
      <c r="B169" s="36">
        <v>46189</v>
      </c>
      <c r="C169" s="11">
        <f t="shared" si="14"/>
        <v>2026</v>
      </c>
      <c r="D169" s="11">
        <f t="shared" si="15"/>
        <v>2</v>
      </c>
      <c r="E169" s="11">
        <f t="shared" si="16"/>
        <v>6</v>
      </c>
      <c r="F169" s="11" t="str">
        <f t="shared" si="17"/>
        <v>June</v>
      </c>
      <c r="G169" s="11">
        <f t="shared" si="18"/>
        <v>25</v>
      </c>
      <c r="H169" s="11" t="str">
        <f t="shared" si="19"/>
        <v>Tuesday</v>
      </c>
      <c r="I169" s="38" t="str">
        <f t="shared" si="20"/>
        <v>N</v>
      </c>
    </row>
    <row r="170" spans="2:9" x14ac:dyDescent="0.35">
      <c r="B170" s="37">
        <v>46190</v>
      </c>
      <c r="C170" s="12">
        <f t="shared" si="14"/>
        <v>2026</v>
      </c>
      <c r="D170" s="12">
        <f t="shared" si="15"/>
        <v>2</v>
      </c>
      <c r="E170" s="12">
        <f t="shared" si="16"/>
        <v>6</v>
      </c>
      <c r="F170" s="12" t="str">
        <f t="shared" si="17"/>
        <v>June</v>
      </c>
      <c r="G170" s="12">
        <f t="shared" si="18"/>
        <v>25</v>
      </c>
      <c r="H170" s="12" t="str">
        <f t="shared" si="19"/>
        <v>Wednesday</v>
      </c>
      <c r="I170" s="39" t="str">
        <f t="shared" si="20"/>
        <v>N</v>
      </c>
    </row>
    <row r="171" spans="2:9" x14ac:dyDescent="0.35">
      <c r="B171" s="36">
        <v>46191</v>
      </c>
      <c r="C171" s="11">
        <f t="shared" si="14"/>
        <v>2026</v>
      </c>
      <c r="D171" s="11">
        <f t="shared" si="15"/>
        <v>2</v>
      </c>
      <c r="E171" s="11">
        <f t="shared" si="16"/>
        <v>6</v>
      </c>
      <c r="F171" s="11" t="str">
        <f t="shared" si="17"/>
        <v>June</v>
      </c>
      <c r="G171" s="11">
        <f t="shared" si="18"/>
        <v>25</v>
      </c>
      <c r="H171" s="11" t="str">
        <f t="shared" si="19"/>
        <v>Thursday</v>
      </c>
      <c r="I171" s="38" t="str">
        <f t="shared" si="20"/>
        <v>N</v>
      </c>
    </row>
    <row r="172" spans="2:9" x14ac:dyDescent="0.35">
      <c r="B172" s="37">
        <v>46192</v>
      </c>
      <c r="C172" s="12">
        <f t="shared" si="14"/>
        <v>2026</v>
      </c>
      <c r="D172" s="12">
        <f t="shared" si="15"/>
        <v>2</v>
      </c>
      <c r="E172" s="12">
        <f t="shared" si="16"/>
        <v>6</v>
      </c>
      <c r="F172" s="12" t="str">
        <f t="shared" si="17"/>
        <v>June</v>
      </c>
      <c r="G172" s="12">
        <f t="shared" si="18"/>
        <v>25</v>
      </c>
      <c r="H172" s="12" t="str">
        <f t="shared" si="19"/>
        <v>Friday</v>
      </c>
      <c r="I172" s="39" t="str">
        <f t="shared" si="20"/>
        <v>Y</v>
      </c>
    </row>
    <row r="173" spans="2:9" x14ac:dyDescent="0.35">
      <c r="B173" s="36">
        <v>46193</v>
      </c>
      <c r="C173" s="11">
        <f t="shared" si="14"/>
        <v>2026</v>
      </c>
      <c r="D173" s="11">
        <f t="shared" si="15"/>
        <v>2</v>
      </c>
      <c r="E173" s="11">
        <f t="shared" si="16"/>
        <v>6</v>
      </c>
      <c r="F173" s="11" t="str">
        <f t="shared" si="17"/>
        <v>June</v>
      </c>
      <c r="G173" s="11">
        <f t="shared" si="18"/>
        <v>25</v>
      </c>
      <c r="H173" s="11" t="str">
        <f t="shared" si="19"/>
        <v>Saturday</v>
      </c>
      <c r="I173" s="38" t="str">
        <f t="shared" si="20"/>
        <v>Y</v>
      </c>
    </row>
    <row r="174" spans="2:9" x14ac:dyDescent="0.35">
      <c r="B174" s="37">
        <v>46194</v>
      </c>
      <c r="C174" s="12">
        <f t="shared" si="14"/>
        <v>2026</v>
      </c>
      <c r="D174" s="12">
        <f t="shared" si="15"/>
        <v>2</v>
      </c>
      <c r="E174" s="12">
        <f t="shared" si="16"/>
        <v>6</v>
      </c>
      <c r="F174" s="12" t="str">
        <f t="shared" si="17"/>
        <v>June</v>
      </c>
      <c r="G174" s="12">
        <f t="shared" si="18"/>
        <v>26</v>
      </c>
      <c r="H174" s="12" t="str">
        <f t="shared" si="19"/>
        <v>Sunday</v>
      </c>
      <c r="I174" s="39" t="str">
        <f t="shared" si="20"/>
        <v>N</v>
      </c>
    </row>
    <row r="175" spans="2:9" x14ac:dyDescent="0.35">
      <c r="B175" s="36">
        <v>46195</v>
      </c>
      <c r="C175" s="11">
        <f t="shared" si="14"/>
        <v>2026</v>
      </c>
      <c r="D175" s="11">
        <f t="shared" si="15"/>
        <v>2</v>
      </c>
      <c r="E175" s="11">
        <f t="shared" si="16"/>
        <v>6</v>
      </c>
      <c r="F175" s="11" t="str">
        <f t="shared" si="17"/>
        <v>June</v>
      </c>
      <c r="G175" s="11">
        <f t="shared" si="18"/>
        <v>26</v>
      </c>
      <c r="H175" s="11" t="str">
        <f t="shared" si="19"/>
        <v>Monday</v>
      </c>
      <c r="I175" s="38" t="str">
        <f t="shared" si="20"/>
        <v>N</v>
      </c>
    </row>
    <row r="176" spans="2:9" x14ac:dyDescent="0.35">
      <c r="B176" s="37">
        <v>46196</v>
      </c>
      <c r="C176" s="12">
        <f t="shared" si="14"/>
        <v>2026</v>
      </c>
      <c r="D176" s="12">
        <f t="shared" si="15"/>
        <v>2</v>
      </c>
      <c r="E176" s="12">
        <f t="shared" si="16"/>
        <v>6</v>
      </c>
      <c r="F176" s="12" t="str">
        <f t="shared" si="17"/>
        <v>June</v>
      </c>
      <c r="G176" s="12">
        <f t="shared" si="18"/>
        <v>26</v>
      </c>
      <c r="H176" s="12" t="str">
        <f t="shared" si="19"/>
        <v>Tuesday</v>
      </c>
      <c r="I176" s="39" t="str">
        <f t="shared" si="20"/>
        <v>N</v>
      </c>
    </row>
    <row r="177" spans="2:9" x14ac:dyDescent="0.35">
      <c r="B177" s="36">
        <v>46197</v>
      </c>
      <c r="C177" s="11">
        <f t="shared" si="14"/>
        <v>2026</v>
      </c>
      <c r="D177" s="11">
        <f t="shared" si="15"/>
        <v>2</v>
      </c>
      <c r="E177" s="11">
        <f t="shared" si="16"/>
        <v>6</v>
      </c>
      <c r="F177" s="11" t="str">
        <f t="shared" si="17"/>
        <v>June</v>
      </c>
      <c r="G177" s="11">
        <f t="shared" si="18"/>
        <v>26</v>
      </c>
      <c r="H177" s="11" t="str">
        <f t="shared" si="19"/>
        <v>Wednesday</v>
      </c>
      <c r="I177" s="38" t="str">
        <f t="shared" si="20"/>
        <v>N</v>
      </c>
    </row>
    <row r="178" spans="2:9" x14ac:dyDescent="0.35">
      <c r="B178" s="37">
        <v>46198</v>
      </c>
      <c r="C178" s="12">
        <f t="shared" si="14"/>
        <v>2026</v>
      </c>
      <c r="D178" s="12">
        <f t="shared" si="15"/>
        <v>2</v>
      </c>
      <c r="E178" s="12">
        <f t="shared" si="16"/>
        <v>6</v>
      </c>
      <c r="F178" s="12" t="str">
        <f t="shared" si="17"/>
        <v>June</v>
      </c>
      <c r="G178" s="12">
        <f t="shared" si="18"/>
        <v>26</v>
      </c>
      <c r="H178" s="12" t="str">
        <f t="shared" si="19"/>
        <v>Thursday</v>
      </c>
      <c r="I178" s="39" t="str">
        <f t="shared" si="20"/>
        <v>N</v>
      </c>
    </row>
    <row r="179" spans="2:9" x14ac:dyDescent="0.35">
      <c r="B179" s="36">
        <v>46199</v>
      </c>
      <c r="C179" s="11">
        <f t="shared" si="14"/>
        <v>2026</v>
      </c>
      <c r="D179" s="11">
        <f t="shared" si="15"/>
        <v>2</v>
      </c>
      <c r="E179" s="11">
        <f t="shared" si="16"/>
        <v>6</v>
      </c>
      <c r="F179" s="11" t="str">
        <f t="shared" si="17"/>
        <v>June</v>
      </c>
      <c r="G179" s="11">
        <f t="shared" si="18"/>
        <v>26</v>
      </c>
      <c r="H179" s="11" t="str">
        <f t="shared" si="19"/>
        <v>Friday</v>
      </c>
      <c r="I179" s="38" t="str">
        <f t="shared" si="20"/>
        <v>Y</v>
      </c>
    </row>
    <row r="180" spans="2:9" x14ac:dyDescent="0.35">
      <c r="B180" s="37">
        <v>46200</v>
      </c>
      <c r="C180" s="12">
        <f t="shared" si="14"/>
        <v>2026</v>
      </c>
      <c r="D180" s="12">
        <f t="shared" si="15"/>
        <v>2</v>
      </c>
      <c r="E180" s="12">
        <f t="shared" si="16"/>
        <v>6</v>
      </c>
      <c r="F180" s="12" t="str">
        <f t="shared" si="17"/>
        <v>June</v>
      </c>
      <c r="G180" s="12">
        <f t="shared" si="18"/>
        <v>26</v>
      </c>
      <c r="H180" s="12" t="str">
        <f t="shared" si="19"/>
        <v>Saturday</v>
      </c>
      <c r="I180" s="39" t="str">
        <f t="shared" si="20"/>
        <v>Y</v>
      </c>
    </row>
    <row r="181" spans="2:9" x14ac:dyDescent="0.35">
      <c r="B181" s="36">
        <v>46201</v>
      </c>
      <c r="C181" s="11">
        <f t="shared" si="14"/>
        <v>2026</v>
      </c>
      <c r="D181" s="11">
        <f t="shared" si="15"/>
        <v>2</v>
      </c>
      <c r="E181" s="11">
        <f t="shared" si="16"/>
        <v>6</v>
      </c>
      <c r="F181" s="11" t="str">
        <f t="shared" si="17"/>
        <v>June</v>
      </c>
      <c r="G181" s="11">
        <f t="shared" si="18"/>
        <v>27</v>
      </c>
      <c r="H181" s="11" t="str">
        <f t="shared" si="19"/>
        <v>Sunday</v>
      </c>
      <c r="I181" s="38" t="str">
        <f t="shared" si="20"/>
        <v>N</v>
      </c>
    </row>
    <row r="182" spans="2:9" x14ac:dyDescent="0.35">
      <c r="B182" s="37">
        <v>46202</v>
      </c>
      <c r="C182" s="12">
        <f t="shared" si="14"/>
        <v>2026</v>
      </c>
      <c r="D182" s="12">
        <f t="shared" si="15"/>
        <v>2</v>
      </c>
      <c r="E182" s="12">
        <f t="shared" si="16"/>
        <v>6</v>
      </c>
      <c r="F182" s="12" t="str">
        <f t="shared" si="17"/>
        <v>June</v>
      </c>
      <c r="G182" s="12">
        <f t="shared" si="18"/>
        <v>27</v>
      </c>
      <c r="H182" s="12" t="str">
        <f t="shared" si="19"/>
        <v>Monday</v>
      </c>
      <c r="I182" s="39" t="str">
        <f t="shared" si="20"/>
        <v>N</v>
      </c>
    </row>
    <row r="183" spans="2:9" x14ac:dyDescent="0.35">
      <c r="B183" s="36">
        <v>46203</v>
      </c>
      <c r="C183" s="11">
        <f t="shared" si="14"/>
        <v>2026</v>
      </c>
      <c r="D183" s="11">
        <f t="shared" si="15"/>
        <v>2</v>
      </c>
      <c r="E183" s="11">
        <f t="shared" si="16"/>
        <v>6</v>
      </c>
      <c r="F183" s="11" t="str">
        <f t="shared" si="17"/>
        <v>June</v>
      </c>
      <c r="G183" s="11">
        <f t="shared" si="18"/>
        <v>27</v>
      </c>
      <c r="H183" s="11" t="str">
        <f t="shared" si="19"/>
        <v>Tuesday</v>
      </c>
      <c r="I183" s="38" t="str">
        <f t="shared" si="20"/>
        <v>N</v>
      </c>
    </row>
    <row r="184" spans="2:9" x14ac:dyDescent="0.35">
      <c r="B184" s="37">
        <v>46204</v>
      </c>
      <c r="C184" s="12">
        <f t="shared" si="14"/>
        <v>2026</v>
      </c>
      <c r="D184" s="12">
        <f t="shared" si="15"/>
        <v>3</v>
      </c>
      <c r="E184" s="12">
        <f t="shared" si="16"/>
        <v>7</v>
      </c>
      <c r="F184" s="12" t="str">
        <f t="shared" si="17"/>
        <v>July</v>
      </c>
      <c r="G184" s="12">
        <f t="shared" si="18"/>
        <v>27</v>
      </c>
      <c r="H184" s="12" t="str">
        <f t="shared" si="19"/>
        <v>Wednesday</v>
      </c>
      <c r="I184" s="39" t="str">
        <f t="shared" si="20"/>
        <v>N</v>
      </c>
    </row>
    <row r="185" spans="2:9" x14ac:dyDescent="0.35">
      <c r="B185" s="36">
        <v>46205</v>
      </c>
      <c r="C185" s="11">
        <f t="shared" si="14"/>
        <v>2026</v>
      </c>
      <c r="D185" s="11">
        <f t="shared" si="15"/>
        <v>3</v>
      </c>
      <c r="E185" s="11">
        <f t="shared" si="16"/>
        <v>7</v>
      </c>
      <c r="F185" s="11" t="str">
        <f t="shared" si="17"/>
        <v>July</v>
      </c>
      <c r="G185" s="11">
        <f t="shared" si="18"/>
        <v>27</v>
      </c>
      <c r="H185" s="11" t="str">
        <f t="shared" si="19"/>
        <v>Thursday</v>
      </c>
      <c r="I185" s="38" t="str">
        <f t="shared" si="20"/>
        <v>N</v>
      </c>
    </row>
    <row r="186" spans="2:9" x14ac:dyDescent="0.35">
      <c r="B186" s="37">
        <v>46206</v>
      </c>
      <c r="C186" s="12">
        <f t="shared" si="14"/>
        <v>2026</v>
      </c>
      <c r="D186" s="12">
        <f t="shared" si="15"/>
        <v>3</v>
      </c>
      <c r="E186" s="12">
        <f t="shared" si="16"/>
        <v>7</v>
      </c>
      <c r="F186" s="12" t="str">
        <f t="shared" si="17"/>
        <v>July</v>
      </c>
      <c r="G186" s="12">
        <f t="shared" si="18"/>
        <v>27</v>
      </c>
      <c r="H186" s="12" t="str">
        <f t="shared" si="19"/>
        <v>Friday</v>
      </c>
      <c r="I186" s="39" t="str">
        <f t="shared" si="20"/>
        <v>Y</v>
      </c>
    </row>
    <row r="187" spans="2:9" x14ac:dyDescent="0.35">
      <c r="B187" s="36">
        <v>46207</v>
      </c>
      <c r="C187" s="11">
        <f t="shared" si="14"/>
        <v>2026</v>
      </c>
      <c r="D187" s="11">
        <f t="shared" si="15"/>
        <v>3</v>
      </c>
      <c r="E187" s="11">
        <f t="shared" si="16"/>
        <v>7</v>
      </c>
      <c r="F187" s="11" t="str">
        <f t="shared" si="17"/>
        <v>July</v>
      </c>
      <c r="G187" s="11">
        <f t="shared" si="18"/>
        <v>27</v>
      </c>
      <c r="H187" s="11" t="str">
        <f t="shared" si="19"/>
        <v>Saturday</v>
      </c>
      <c r="I187" s="38" t="str">
        <f t="shared" si="20"/>
        <v>Y</v>
      </c>
    </row>
    <row r="188" spans="2:9" x14ac:dyDescent="0.35">
      <c r="B188" s="37">
        <v>46208</v>
      </c>
      <c r="C188" s="12">
        <f t="shared" si="14"/>
        <v>2026</v>
      </c>
      <c r="D188" s="12">
        <f t="shared" si="15"/>
        <v>3</v>
      </c>
      <c r="E188" s="12">
        <f t="shared" si="16"/>
        <v>7</v>
      </c>
      <c r="F188" s="12" t="str">
        <f t="shared" si="17"/>
        <v>July</v>
      </c>
      <c r="G188" s="12">
        <f t="shared" si="18"/>
        <v>28</v>
      </c>
      <c r="H188" s="12" t="str">
        <f t="shared" si="19"/>
        <v>Sunday</v>
      </c>
      <c r="I188" s="39" t="str">
        <f t="shared" si="20"/>
        <v>N</v>
      </c>
    </row>
    <row r="189" spans="2:9" x14ac:dyDescent="0.35">
      <c r="B189" s="36">
        <v>46209</v>
      </c>
      <c r="C189" s="11">
        <f t="shared" si="14"/>
        <v>2026</v>
      </c>
      <c r="D189" s="11">
        <f t="shared" si="15"/>
        <v>3</v>
      </c>
      <c r="E189" s="11">
        <f t="shared" si="16"/>
        <v>7</v>
      </c>
      <c r="F189" s="11" t="str">
        <f t="shared" si="17"/>
        <v>July</v>
      </c>
      <c r="G189" s="11">
        <f t="shared" si="18"/>
        <v>28</v>
      </c>
      <c r="H189" s="11" t="str">
        <f t="shared" si="19"/>
        <v>Monday</v>
      </c>
      <c r="I189" s="38" t="str">
        <f t="shared" si="20"/>
        <v>N</v>
      </c>
    </row>
    <row r="190" spans="2:9" x14ac:dyDescent="0.35">
      <c r="B190" s="37">
        <v>46210</v>
      </c>
      <c r="C190" s="12">
        <f t="shared" si="14"/>
        <v>2026</v>
      </c>
      <c r="D190" s="12">
        <f t="shared" si="15"/>
        <v>3</v>
      </c>
      <c r="E190" s="12">
        <f t="shared" si="16"/>
        <v>7</v>
      </c>
      <c r="F190" s="12" t="str">
        <f t="shared" si="17"/>
        <v>July</v>
      </c>
      <c r="G190" s="12">
        <f t="shared" si="18"/>
        <v>28</v>
      </c>
      <c r="H190" s="12" t="str">
        <f t="shared" si="19"/>
        <v>Tuesday</v>
      </c>
      <c r="I190" s="39" t="str">
        <f t="shared" si="20"/>
        <v>N</v>
      </c>
    </row>
    <row r="191" spans="2:9" x14ac:dyDescent="0.35">
      <c r="B191" s="36">
        <v>46211</v>
      </c>
      <c r="C191" s="11">
        <f t="shared" si="14"/>
        <v>2026</v>
      </c>
      <c r="D191" s="11">
        <f t="shared" si="15"/>
        <v>3</v>
      </c>
      <c r="E191" s="11">
        <f t="shared" si="16"/>
        <v>7</v>
      </c>
      <c r="F191" s="11" t="str">
        <f t="shared" si="17"/>
        <v>July</v>
      </c>
      <c r="G191" s="11">
        <f t="shared" si="18"/>
        <v>28</v>
      </c>
      <c r="H191" s="11" t="str">
        <f t="shared" si="19"/>
        <v>Wednesday</v>
      </c>
      <c r="I191" s="38" t="str">
        <f t="shared" si="20"/>
        <v>N</v>
      </c>
    </row>
    <row r="192" spans="2:9" x14ac:dyDescent="0.35">
      <c r="B192" s="37">
        <v>46212</v>
      </c>
      <c r="C192" s="12">
        <f t="shared" si="14"/>
        <v>2026</v>
      </c>
      <c r="D192" s="12">
        <f t="shared" si="15"/>
        <v>3</v>
      </c>
      <c r="E192" s="12">
        <f t="shared" si="16"/>
        <v>7</v>
      </c>
      <c r="F192" s="12" t="str">
        <f t="shared" si="17"/>
        <v>July</v>
      </c>
      <c r="G192" s="12">
        <f t="shared" si="18"/>
        <v>28</v>
      </c>
      <c r="H192" s="12" t="str">
        <f t="shared" si="19"/>
        <v>Thursday</v>
      </c>
      <c r="I192" s="39" t="str">
        <f t="shared" si="20"/>
        <v>N</v>
      </c>
    </row>
    <row r="193" spans="2:9" x14ac:dyDescent="0.35">
      <c r="B193" s="36">
        <v>46213</v>
      </c>
      <c r="C193" s="11">
        <f t="shared" si="14"/>
        <v>2026</v>
      </c>
      <c r="D193" s="11">
        <f t="shared" si="15"/>
        <v>3</v>
      </c>
      <c r="E193" s="11">
        <f t="shared" si="16"/>
        <v>7</v>
      </c>
      <c r="F193" s="11" t="str">
        <f t="shared" si="17"/>
        <v>July</v>
      </c>
      <c r="G193" s="11">
        <f t="shared" si="18"/>
        <v>28</v>
      </c>
      <c r="H193" s="11" t="str">
        <f t="shared" si="19"/>
        <v>Friday</v>
      </c>
      <c r="I193" s="38" t="str">
        <f t="shared" si="20"/>
        <v>Y</v>
      </c>
    </row>
    <row r="194" spans="2:9" x14ac:dyDescent="0.35">
      <c r="B194" s="37">
        <v>46214</v>
      </c>
      <c r="C194" s="12">
        <f t="shared" si="14"/>
        <v>2026</v>
      </c>
      <c r="D194" s="12">
        <f t="shared" si="15"/>
        <v>3</v>
      </c>
      <c r="E194" s="12">
        <f t="shared" si="16"/>
        <v>7</v>
      </c>
      <c r="F194" s="12" t="str">
        <f t="shared" si="17"/>
        <v>July</v>
      </c>
      <c r="G194" s="12">
        <f t="shared" si="18"/>
        <v>28</v>
      </c>
      <c r="H194" s="12" t="str">
        <f t="shared" si="19"/>
        <v>Saturday</v>
      </c>
      <c r="I194" s="39" t="str">
        <f t="shared" si="20"/>
        <v>Y</v>
      </c>
    </row>
    <row r="195" spans="2:9" x14ac:dyDescent="0.35">
      <c r="B195" s="36">
        <v>46215</v>
      </c>
      <c r="C195" s="11">
        <f t="shared" ref="C195:C258" si="21">YEAR(B195)</f>
        <v>2026</v>
      </c>
      <c r="D195" s="11">
        <f t="shared" ref="D195:D258" si="22">ROUNDUP(MONTH(B195)/3,0)</f>
        <v>3</v>
      </c>
      <c r="E195" s="11">
        <f t="shared" ref="E195:E258" si="23">MONTH(B195)</f>
        <v>7</v>
      </c>
      <c r="F195" s="11" t="str">
        <f t="shared" ref="F195:F258" si="24">TEXT(B195,"mmmm")</f>
        <v>July</v>
      </c>
      <c r="G195" s="11">
        <f t="shared" ref="G195:G258" si="25">WEEKNUM(B195,1)</f>
        <v>29</v>
      </c>
      <c r="H195" s="11" t="str">
        <f t="shared" ref="H195:H258" si="26">TEXT(B195,"dddd")</f>
        <v>Sunday</v>
      </c>
      <c r="I195" s="38" t="str">
        <f t="shared" ref="I195:I258" si="27">IF(OR(WEEKDAY(B195)=6,WEEKDAY(B195)=7),"Y","N")</f>
        <v>N</v>
      </c>
    </row>
    <row r="196" spans="2:9" x14ac:dyDescent="0.35">
      <c r="B196" s="37">
        <v>46216</v>
      </c>
      <c r="C196" s="12">
        <f t="shared" si="21"/>
        <v>2026</v>
      </c>
      <c r="D196" s="12">
        <f t="shared" si="22"/>
        <v>3</v>
      </c>
      <c r="E196" s="12">
        <f t="shared" si="23"/>
        <v>7</v>
      </c>
      <c r="F196" s="12" t="str">
        <f t="shared" si="24"/>
        <v>July</v>
      </c>
      <c r="G196" s="12">
        <f t="shared" si="25"/>
        <v>29</v>
      </c>
      <c r="H196" s="12" t="str">
        <f t="shared" si="26"/>
        <v>Monday</v>
      </c>
      <c r="I196" s="39" t="str">
        <f t="shared" si="27"/>
        <v>N</v>
      </c>
    </row>
    <row r="197" spans="2:9" x14ac:dyDescent="0.35">
      <c r="B197" s="36">
        <v>46217</v>
      </c>
      <c r="C197" s="11">
        <f t="shared" si="21"/>
        <v>2026</v>
      </c>
      <c r="D197" s="11">
        <f t="shared" si="22"/>
        <v>3</v>
      </c>
      <c r="E197" s="11">
        <f t="shared" si="23"/>
        <v>7</v>
      </c>
      <c r="F197" s="11" t="str">
        <f t="shared" si="24"/>
        <v>July</v>
      </c>
      <c r="G197" s="11">
        <f t="shared" si="25"/>
        <v>29</v>
      </c>
      <c r="H197" s="11" t="str">
        <f t="shared" si="26"/>
        <v>Tuesday</v>
      </c>
      <c r="I197" s="38" t="str">
        <f t="shared" si="27"/>
        <v>N</v>
      </c>
    </row>
    <row r="198" spans="2:9" x14ac:dyDescent="0.35">
      <c r="B198" s="37">
        <v>46218</v>
      </c>
      <c r="C198" s="12">
        <f t="shared" si="21"/>
        <v>2026</v>
      </c>
      <c r="D198" s="12">
        <f t="shared" si="22"/>
        <v>3</v>
      </c>
      <c r="E198" s="12">
        <f t="shared" si="23"/>
        <v>7</v>
      </c>
      <c r="F198" s="12" t="str">
        <f t="shared" si="24"/>
        <v>July</v>
      </c>
      <c r="G198" s="12">
        <f t="shared" si="25"/>
        <v>29</v>
      </c>
      <c r="H198" s="12" t="str">
        <f t="shared" si="26"/>
        <v>Wednesday</v>
      </c>
      <c r="I198" s="39" t="str">
        <f t="shared" si="27"/>
        <v>N</v>
      </c>
    </row>
    <row r="199" spans="2:9" x14ac:dyDescent="0.35">
      <c r="B199" s="36">
        <v>46219</v>
      </c>
      <c r="C199" s="11">
        <f t="shared" si="21"/>
        <v>2026</v>
      </c>
      <c r="D199" s="11">
        <f t="shared" si="22"/>
        <v>3</v>
      </c>
      <c r="E199" s="11">
        <f t="shared" si="23"/>
        <v>7</v>
      </c>
      <c r="F199" s="11" t="str">
        <f t="shared" si="24"/>
        <v>July</v>
      </c>
      <c r="G199" s="11">
        <f t="shared" si="25"/>
        <v>29</v>
      </c>
      <c r="H199" s="11" t="str">
        <f t="shared" si="26"/>
        <v>Thursday</v>
      </c>
      <c r="I199" s="38" t="str">
        <f t="shared" si="27"/>
        <v>N</v>
      </c>
    </row>
    <row r="200" spans="2:9" x14ac:dyDescent="0.35">
      <c r="B200" s="37">
        <v>46220</v>
      </c>
      <c r="C200" s="12">
        <f t="shared" si="21"/>
        <v>2026</v>
      </c>
      <c r="D200" s="12">
        <f t="shared" si="22"/>
        <v>3</v>
      </c>
      <c r="E200" s="12">
        <f t="shared" si="23"/>
        <v>7</v>
      </c>
      <c r="F200" s="12" t="str">
        <f t="shared" si="24"/>
        <v>July</v>
      </c>
      <c r="G200" s="12">
        <f t="shared" si="25"/>
        <v>29</v>
      </c>
      <c r="H200" s="12" t="str">
        <f t="shared" si="26"/>
        <v>Friday</v>
      </c>
      <c r="I200" s="39" t="str">
        <f t="shared" si="27"/>
        <v>Y</v>
      </c>
    </row>
    <row r="201" spans="2:9" x14ac:dyDescent="0.35">
      <c r="B201" s="36">
        <v>46221</v>
      </c>
      <c r="C201" s="11">
        <f t="shared" si="21"/>
        <v>2026</v>
      </c>
      <c r="D201" s="11">
        <f t="shared" si="22"/>
        <v>3</v>
      </c>
      <c r="E201" s="11">
        <f t="shared" si="23"/>
        <v>7</v>
      </c>
      <c r="F201" s="11" t="str">
        <f t="shared" si="24"/>
        <v>July</v>
      </c>
      <c r="G201" s="11">
        <f t="shared" si="25"/>
        <v>29</v>
      </c>
      <c r="H201" s="11" t="str">
        <f t="shared" si="26"/>
        <v>Saturday</v>
      </c>
      <c r="I201" s="38" t="str">
        <f t="shared" si="27"/>
        <v>Y</v>
      </c>
    </row>
    <row r="202" spans="2:9" x14ac:dyDescent="0.35">
      <c r="B202" s="37">
        <v>46222</v>
      </c>
      <c r="C202" s="12">
        <f t="shared" si="21"/>
        <v>2026</v>
      </c>
      <c r="D202" s="12">
        <f t="shared" si="22"/>
        <v>3</v>
      </c>
      <c r="E202" s="12">
        <f t="shared" si="23"/>
        <v>7</v>
      </c>
      <c r="F202" s="12" t="str">
        <f t="shared" si="24"/>
        <v>July</v>
      </c>
      <c r="G202" s="12">
        <f t="shared" si="25"/>
        <v>30</v>
      </c>
      <c r="H202" s="12" t="str">
        <f t="shared" si="26"/>
        <v>Sunday</v>
      </c>
      <c r="I202" s="39" t="str">
        <f t="shared" si="27"/>
        <v>N</v>
      </c>
    </row>
    <row r="203" spans="2:9" x14ac:dyDescent="0.35">
      <c r="B203" s="36">
        <v>46223</v>
      </c>
      <c r="C203" s="11">
        <f t="shared" si="21"/>
        <v>2026</v>
      </c>
      <c r="D203" s="11">
        <f t="shared" si="22"/>
        <v>3</v>
      </c>
      <c r="E203" s="11">
        <f t="shared" si="23"/>
        <v>7</v>
      </c>
      <c r="F203" s="11" t="str">
        <f t="shared" si="24"/>
        <v>July</v>
      </c>
      <c r="G203" s="11">
        <f t="shared" si="25"/>
        <v>30</v>
      </c>
      <c r="H203" s="11" t="str">
        <f t="shared" si="26"/>
        <v>Monday</v>
      </c>
      <c r="I203" s="38" t="str">
        <f t="shared" si="27"/>
        <v>N</v>
      </c>
    </row>
    <row r="204" spans="2:9" x14ac:dyDescent="0.35">
      <c r="B204" s="37">
        <v>46224</v>
      </c>
      <c r="C204" s="12">
        <f t="shared" si="21"/>
        <v>2026</v>
      </c>
      <c r="D204" s="12">
        <f t="shared" si="22"/>
        <v>3</v>
      </c>
      <c r="E204" s="12">
        <f t="shared" si="23"/>
        <v>7</v>
      </c>
      <c r="F204" s="12" t="str">
        <f t="shared" si="24"/>
        <v>July</v>
      </c>
      <c r="G204" s="12">
        <f t="shared" si="25"/>
        <v>30</v>
      </c>
      <c r="H204" s="12" t="str">
        <f t="shared" si="26"/>
        <v>Tuesday</v>
      </c>
      <c r="I204" s="39" t="str">
        <f t="shared" si="27"/>
        <v>N</v>
      </c>
    </row>
    <row r="205" spans="2:9" x14ac:dyDescent="0.35">
      <c r="B205" s="36">
        <v>46225</v>
      </c>
      <c r="C205" s="11">
        <f t="shared" si="21"/>
        <v>2026</v>
      </c>
      <c r="D205" s="11">
        <f t="shared" si="22"/>
        <v>3</v>
      </c>
      <c r="E205" s="11">
        <f t="shared" si="23"/>
        <v>7</v>
      </c>
      <c r="F205" s="11" t="str">
        <f t="shared" si="24"/>
        <v>July</v>
      </c>
      <c r="G205" s="11">
        <f t="shared" si="25"/>
        <v>30</v>
      </c>
      <c r="H205" s="11" t="str">
        <f t="shared" si="26"/>
        <v>Wednesday</v>
      </c>
      <c r="I205" s="38" t="str">
        <f t="shared" si="27"/>
        <v>N</v>
      </c>
    </row>
    <row r="206" spans="2:9" x14ac:dyDescent="0.35">
      <c r="B206" s="37">
        <v>46226</v>
      </c>
      <c r="C206" s="12">
        <f t="shared" si="21"/>
        <v>2026</v>
      </c>
      <c r="D206" s="12">
        <f t="shared" si="22"/>
        <v>3</v>
      </c>
      <c r="E206" s="12">
        <f t="shared" si="23"/>
        <v>7</v>
      </c>
      <c r="F206" s="12" t="str">
        <f t="shared" si="24"/>
        <v>July</v>
      </c>
      <c r="G206" s="12">
        <f t="shared" si="25"/>
        <v>30</v>
      </c>
      <c r="H206" s="12" t="str">
        <f t="shared" si="26"/>
        <v>Thursday</v>
      </c>
      <c r="I206" s="39" t="str">
        <f t="shared" si="27"/>
        <v>N</v>
      </c>
    </row>
    <row r="207" spans="2:9" x14ac:dyDescent="0.35">
      <c r="B207" s="36">
        <v>46227</v>
      </c>
      <c r="C207" s="11">
        <f t="shared" si="21"/>
        <v>2026</v>
      </c>
      <c r="D207" s="11">
        <f t="shared" si="22"/>
        <v>3</v>
      </c>
      <c r="E207" s="11">
        <f t="shared" si="23"/>
        <v>7</v>
      </c>
      <c r="F207" s="11" t="str">
        <f t="shared" si="24"/>
        <v>July</v>
      </c>
      <c r="G207" s="11">
        <f t="shared" si="25"/>
        <v>30</v>
      </c>
      <c r="H207" s="11" t="str">
        <f t="shared" si="26"/>
        <v>Friday</v>
      </c>
      <c r="I207" s="38" t="str">
        <f t="shared" si="27"/>
        <v>Y</v>
      </c>
    </row>
    <row r="208" spans="2:9" x14ac:dyDescent="0.35">
      <c r="B208" s="37">
        <v>46228</v>
      </c>
      <c r="C208" s="12">
        <f t="shared" si="21"/>
        <v>2026</v>
      </c>
      <c r="D208" s="12">
        <f t="shared" si="22"/>
        <v>3</v>
      </c>
      <c r="E208" s="12">
        <f t="shared" si="23"/>
        <v>7</v>
      </c>
      <c r="F208" s="12" t="str">
        <f t="shared" si="24"/>
        <v>July</v>
      </c>
      <c r="G208" s="12">
        <f t="shared" si="25"/>
        <v>30</v>
      </c>
      <c r="H208" s="12" t="str">
        <f t="shared" si="26"/>
        <v>Saturday</v>
      </c>
      <c r="I208" s="39" t="str">
        <f t="shared" si="27"/>
        <v>Y</v>
      </c>
    </row>
    <row r="209" spans="2:9" x14ac:dyDescent="0.35">
      <c r="B209" s="36">
        <v>46229</v>
      </c>
      <c r="C209" s="11">
        <f t="shared" si="21"/>
        <v>2026</v>
      </c>
      <c r="D209" s="11">
        <f t="shared" si="22"/>
        <v>3</v>
      </c>
      <c r="E209" s="11">
        <f t="shared" si="23"/>
        <v>7</v>
      </c>
      <c r="F209" s="11" t="str">
        <f t="shared" si="24"/>
        <v>July</v>
      </c>
      <c r="G209" s="11">
        <f t="shared" si="25"/>
        <v>31</v>
      </c>
      <c r="H209" s="11" t="str">
        <f t="shared" si="26"/>
        <v>Sunday</v>
      </c>
      <c r="I209" s="38" t="str">
        <f t="shared" si="27"/>
        <v>N</v>
      </c>
    </row>
    <row r="210" spans="2:9" x14ac:dyDescent="0.35">
      <c r="B210" s="37">
        <v>46230</v>
      </c>
      <c r="C210" s="12">
        <f t="shared" si="21"/>
        <v>2026</v>
      </c>
      <c r="D210" s="12">
        <f t="shared" si="22"/>
        <v>3</v>
      </c>
      <c r="E210" s="12">
        <f t="shared" si="23"/>
        <v>7</v>
      </c>
      <c r="F210" s="12" t="str">
        <f t="shared" si="24"/>
        <v>July</v>
      </c>
      <c r="G210" s="12">
        <f t="shared" si="25"/>
        <v>31</v>
      </c>
      <c r="H210" s="12" t="str">
        <f t="shared" si="26"/>
        <v>Monday</v>
      </c>
      <c r="I210" s="39" t="str">
        <f t="shared" si="27"/>
        <v>N</v>
      </c>
    </row>
    <row r="211" spans="2:9" x14ac:dyDescent="0.35">
      <c r="B211" s="36">
        <v>46231</v>
      </c>
      <c r="C211" s="11">
        <f t="shared" si="21"/>
        <v>2026</v>
      </c>
      <c r="D211" s="11">
        <f t="shared" si="22"/>
        <v>3</v>
      </c>
      <c r="E211" s="11">
        <f t="shared" si="23"/>
        <v>7</v>
      </c>
      <c r="F211" s="11" t="str">
        <f t="shared" si="24"/>
        <v>July</v>
      </c>
      <c r="G211" s="11">
        <f t="shared" si="25"/>
        <v>31</v>
      </c>
      <c r="H211" s="11" t="str">
        <f t="shared" si="26"/>
        <v>Tuesday</v>
      </c>
      <c r="I211" s="38" t="str">
        <f t="shared" si="27"/>
        <v>N</v>
      </c>
    </row>
    <row r="212" spans="2:9" x14ac:dyDescent="0.35">
      <c r="B212" s="37">
        <v>46232</v>
      </c>
      <c r="C212" s="12">
        <f t="shared" si="21"/>
        <v>2026</v>
      </c>
      <c r="D212" s="12">
        <f t="shared" si="22"/>
        <v>3</v>
      </c>
      <c r="E212" s="12">
        <f t="shared" si="23"/>
        <v>7</v>
      </c>
      <c r="F212" s="12" t="str">
        <f t="shared" si="24"/>
        <v>July</v>
      </c>
      <c r="G212" s="12">
        <f t="shared" si="25"/>
        <v>31</v>
      </c>
      <c r="H212" s="12" t="str">
        <f t="shared" si="26"/>
        <v>Wednesday</v>
      </c>
      <c r="I212" s="39" t="str">
        <f t="shared" si="27"/>
        <v>N</v>
      </c>
    </row>
    <row r="213" spans="2:9" x14ac:dyDescent="0.35">
      <c r="B213" s="36">
        <v>46233</v>
      </c>
      <c r="C213" s="11">
        <f t="shared" si="21"/>
        <v>2026</v>
      </c>
      <c r="D213" s="11">
        <f t="shared" si="22"/>
        <v>3</v>
      </c>
      <c r="E213" s="11">
        <f t="shared" si="23"/>
        <v>7</v>
      </c>
      <c r="F213" s="11" t="str">
        <f t="shared" si="24"/>
        <v>July</v>
      </c>
      <c r="G213" s="11">
        <f t="shared" si="25"/>
        <v>31</v>
      </c>
      <c r="H213" s="11" t="str">
        <f t="shared" si="26"/>
        <v>Thursday</v>
      </c>
      <c r="I213" s="38" t="str">
        <f t="shared" si="27"/>
        <v>N</v>
      </c>
    </row>
    <row r="214" spans="2:9" x14ac:dyDescent="0.35">
      <c r="B214" s="37">
        <v>46234</v>
      </c>
      <c r="C214" s="12">
        <f t="shared" si="21"/>
        <v>2026</v>
      </c>
      <c r="D214" s="12">
        <f t="shared" si="22"/>
        <v>3</v>
      </c>
      <c r="E214" s="12">
        <f t="shared" si="23"/>
        <v>7</v>
      </c>
      <c r="F214" s="12" t="str">
        <f t="shared" si="24"/>
        <v>July</v>
      </c>
      <c r="G214" s="12">
        <f t="shared" si="25"/>
        <v>31</v>
      </c>
      <c r="H214" s="12" t="str">
        <f t="shared" si="26"/>
        <v>Friday</v>
      </c>
      <c r="I214" s="39" t="str">
        <f t="shared" si="27"/>
        <v>Y</v>
      </c>
    </row>
    <row r="215" spans="2:9" x14ac:dyDescent="0.35">
      <c r="B215" s="36">
        <v>46235</v>
      </c>
      <c r="C215" s="11">
        <f t="shared" si="21"/>
        <v>2026</v>
      </c>
      <c r="D215" s="11">
        <f t="shared" si="22"/>
        <v>3</v>
      </c>
      <c r="E215" s="11">
        <f t="shared" si="23"/>
        <v>8</v>
      </c>
      <c r="F215" s="11" t="str">
        <f t="shared" si="24"/>
        <v>August</v>
      </c>
      <c r="G215" s="11">
        <f t="shared" si="25"/>
        <v>31</v>
      </c>
      <c r="H215" s="11" t="str">
        <f t="shared" si="26"/>
        <v>Saturday</v>
      </c>
      <c r="I215" s="38" t="str">
        <f t="shared" si="27"/>
        <v>Y</v>
      </c>
    </row>
    <row r="216" spans="2:9" x14ac:dyDescent="0.35">
      <c r="B216" s="37">
        <v>46236</v>
      </c>
      <c r="C216" s="12">
        <f t="shared" si="21"/>
        <v>2026</v>
      </c>
      <c r="D216" s="12">
        <f t="shared" si="22"/>
        <v>3</v>
      </c>
      <c r="E216" s="12">
        <f t="shared" si="23"/>
        <v>8</v>
      </c>
      <c r="F216" s="12" t="str">
        <f t="shared" si="24"/>
        <v>August</v>
      </c>
      <c r="G216" s="12">
        <f t="shared" si="25"/>
        <v>32</v>
      </c>
      <c r="H216" s="12" t="str">
        <f t="shared" si="26"/>
        <v>Sunday</v>
      </c>
      <c r="I216" s="39" t="str">
        <f t="shared" si="27"/>
        <v>N</v>
      </c>
    </row>
    <row r="217" spans="2:9" x14ac:dyDescent="0.35">
      <c r="B217" s="36">
        <v>46237</v>
      </c>
      <c r="C217" s="11">
        <f t="shared" si="21"/>
        <v>2026</v>
      </c>
      <c r="D217" s="11">
        <f t="shared" si="22"/>
        <v>3</v>
      </c>
      <c r="E217" s="11">
        <f t="shared" si="23"/>
        <v>8</v>
      </c>
      <c r="F217" s="11" t="str">
        <f t="shared" si="24"/>
        <v>August</v>
      </c>
      <c r="G217" s="11">
        <f t="shared" si="25"/>
        <v>32</v>
      </c>
      <c r="H217" s="11" t="str">
        <f t="shared" si="26"/>
        <v>Monday</v>
      </c>
      <c r="I217" s="38" t="str">
        <f t="shared" si="27"/>
        <v>N</v>
      </c>
    </row>
    <row r="218" spans="2:9" x14ac:dyDescent="0.35">
      <c r="B218" s="37">
        <v>46238</v>
      </c>
      <c r="C218" s="12">
        <f t="shared" si="21"/>
        <v>2026</v>
      </c>
      <c r="D218" s="12">
        <f t="shared" si="22"/>
        <v>3</v>
      </c>
      <c r="E218" s="12">
        <f t="shared" si="23"/>
        <v>8</v>
      </c>
      <c r="F218" s="12" t="str">
        <f t="shared" si="24"/>
        <v>August</v>
      </c>
      <c r="G218" s="12">
        <f t="shared" si="25"/>
        <v>32</v>
      </c>
      <c r="H218" s="12" t="str">
        <f t="shared" si="26"/>
        <v>Tuesday</v>
      </c>
      <c r="I218" s="39" t="str">
        <f t="shared" si="27"/>
        <v>N</v>
      </c>
    </row>
    <row r="219" spans="2:9" x14ac:dyDescent="0.35">
      <c r="B219" s="36">
        <v>46239</v>
      </c>
      <c r="C219" s="11">
        <f t="shared" si="21"/>
        <v>2026</v>
      </c>
      <c r="D219" s="11">
        <f t="shared" si="22"/>
        <v>3</v>
      </c>
      <c r="E219" s="11">
        <f t="shared" si="23"/>
        <v>8</v>
      </c>
      <c r="F219" s="11" t="str">
        <f t="shared" si="24"/>
        <v>August</v>
      </c>
      <c r="G219" s="11">
        <f t="shared" si="25"/>
        <v>32</v>
      </c>
      <c r="H219" s="11" t="str">
        <f t="shared" si="26"/>
        <v>Wednesday</v>
      </c>
      <c r="I219" s="38" t="str">
        <f t="shared" si="27"/>
        <v>N</v>
      </c>
    </row>
    <row r="220" spans="2:9" x14ac:dyDescent="0.35">
      <c r="B220" s="37">
        <v>46240</v>
      </c>
      <c r="C220" s="12">
        <f t="shared" si="21"/>
        <v>2026</v>
      </c>
      <c r="D220" s="12">
        <f t="shared" si="22"/>
        <v>3</v>
      </c>
      <c r="E220" s="12">
        <f t="shared" si="23"/>
        <v>8</v>
      </c>
      <c r="F220" s="12" t="str">
        <f t="shared" si="24"/>
        <v>August</v>
      </c>
      <c r="G220" s="12">
        <f t="shared" si="25"/>
        <v>32</v>
      </c>
      <c r="H220" s="12" t="str">
        <f t="shared" si="26"/>
        <v>Thursday</v>
      </c>
      <c r="I220" s="39" t="str">
        <f t="shared" si="27"/>
        <v>N</v>
      </c>
    </row>
    <row r="221" spans="2:9" x14ac:dyDescent="0.35">
      <c r="B221" s="36">
        <v>46241</v>
      </c>
      <c r="C221" s="11">
        <f t="shared" si="21"/>
        <v>2026</v>
      </c>
      <c r="D221" s="11">
        <f t="shared" si="22"/>
        <v>3</v>
      </c>
      <c r="E221" s="11">
        <f t="shared" si="23"/>
        <v>8</v>
      </c>
      <c r="F221" s="11" t="str">
        <f t="shared" si="24"/>
        <v>August</v>
      </c>
      <c r="G221" s="11">
        <f t="shared" si="25"/>
        <v>32</v>
      </c>
      <c r="H221" s="11" t="str">
        <f t="shared" si="26"/>
        <v>Friday</v>
      </c>
      <c r="I221" s="38" t="str">
        <f t="shared" si="27"/>
        <v>Y</v>
      </c>
    </row>
    <row r="222" spans="2:9" x14ac:dyDescent="0.35">
      <c r="B222" s="37">
        <v>46242</v>
      </c>
      <c r="C222" s="12">
        <f t="shared" si="21"/>
        <v>2026</v>
      </c>
      <c r="D222" s="12">
        <f t="shared" si="22"/>
        <v>3</v>
      </c>
      <c r="E222" s="12">
        <f t="shared" si="23"/>
        <v>8</v>
      </c>
      <c r="F222" s="12" t="str">
        <f t="shared" si="24"/>
        <v>August</v>
      </c>
      <c r="G222" s="12">
        <f t="shared" si="25"/>
        <v>32</v>
      </c>
      <c r="H222" s="12" t="str">
        <f t="shared" si="26"/>
        <v>Saturday</v>
      </c>
      <c r="I222" s="39" t="str">
        <f t="shared" si="27"/>
        <v>Y</v>
      </c>
    </row>
    <row r="223" spans="2:9" x14ac:dyDescent="0.35">
      <c r="B223" s="36">
        <v>46243</v>
      </c>
      <c r="C223" s="11">
        <f t="shared" si="21"/>
        <v>2026</v>
      </c>
      <c r="D223" s="11">
        <f t="shared" si="22"/>
        <v>3</v>
      </c>
      <c r="E223" s="11">
        <f t="shared" si="23"/>
        <v>8</v>
      </c>
      <c r="F223" s="11" t="str">
        <f t="shared" si="24"/>
        <v>August</v>
      </c>
      <c r="G223" s="11">
        <f t="shared" si="25"/>
        <v>33</v>
      </c>
      <c r="H223" s="11" t="str">
        <f t="shared" si="26"/>
        <v>Sunday</v>
      </c>
      <c r="I223" s="38" t="str">
        <f t="shared" si="27"/>
        <v>N</v>
      </c>
    </row>
    <row r="224" spans="2:9" x14ac:dyDescent="0.35">
      <c r="B224" s="37">
        <v>46244</v>
      </c>
      <c r="C224" s="12">
        <f t="shared" si="21"/>
        <v>2026</v>
      </c>
      <c r="D224" s="12">
        <f t="shared" si="22"/>
        <v>3</v>
      </c>
      <c r="E224" s="12">
        <f t="shared" si="23"/>
        <v>8</v>
      </c>
      <c r="F224" s="12" t="str">
        <f t="shared" si="24"/>
        <v>August</v>
      </c>
      <c r="G224" s="12">
        <f t="shared" si="25"/>
        <v>33</v>
      </c>
      <c r="H224" s="12" t="str">
        <f t="shared" si="26"/>
        <v>Monday</v>
      </c>
      <c r="I224" s="39" t="str">
        <f t="shared" si="27"/>
        <v>N</v>
      </c>
    </row>
    <row r="225" spans="2:9" x14ac:dyDescent="0.35">
      <c r="B225" s="36">
        <v>46245</v>
      </c>
      <c r="C225" s="11">
        <f t="shared" si="21"/>
        <v>2026</v>
      </c>
      <c r="D225" s="11">
        <f t="shared" si="22"/>
        <v>3</v>
      </c>
      <c r="E225" s="11">
        <f t="shared" si="23"/>
        <v>8</v>
      </c>
      <c r="F225" s="11" t="str">
        <f t="shared" si="24"/>
        <v>August</v>
      </c>
      <c r="G225" s="11">
        <f t="shared" si="25"/>
        <v>33</v>
      </c>
      <c r="H225" s="11" t="str">
        <f t="shared" si="26"/>
        <v>Tuesday</v>
      </c>
      <c r="I225" s="38" t="str">
        <f t="shared" si="27"/>
        <v>N</v>
      </c>
    </row>
    <row r="226" spans="2:9" x14ac:dyDescent="0.35">
      <c r="B226" s="37">
        <v>46246</v>
      </c>
      <c r="C226" s="12">
        <f t="shared" si="21"/>
        <v>2026</v>
      </c>
      <c r="D226" s="12">
        <f t="shared" si="22"/>
        <v>3</v>
      </c>
      <c r="E226" s="12">
        <f t="shared" si="23"/>
        <v>8</v>
      </c>
      <c r="F226" s="12" t="str">
        <f t="shared" si="24"/>
        <v>August</v>
      </c>
      <c r="G226" s="12">
        <f t="shared" si="25"/>
        <v>33</v>
      </c>
      <c r="H226" s="12" t="str">
        <f t="shared" si="26"/>
        <v>Wednesday</v>
      </c>
      <c r="I226" s="39" t="str">
        <f t="shared" si="27"/>
        <v>N</v>
      </c>
    </row>
    <row r="227" spans="2:9" x14ac:dyDescent="0.35">
      <c r="B227" s="36">
        <v>46247</v>
      </c>
      <c r="C227" s="11">
        <f t="shared" si="21"/>
        <v>2026</v>
      </c>
      <c r="D227" s="11">
        <f t="shared" si="22"/>
        <v>3</v>
      </c>
      <c r="E227" s="11">
        <f t="shared" si="23"/>
        <v>8</v>
      </c>
      <c r="F227" s="11" t="str">
        <f t="shared" si="24"/>
        <v>August</v>
      </c>
      <c r="G227" s="11">
        <f t="shared" si="25"/>
        <v>33</v>
      </c>
      <c r="H227" s="11" t="str">
        <f t="shared" si="26"/>
        <v>Thursday</v>
      </c>
      <c r="I227" s="38" t="str">
        <f t="shared" si="27"/>
        <v>N</v>
      </c>
    </row>
    <row r="228" spans="2:9" x14ac:dyDescent="0.35">
      <c r="B228" s="37">
        <v>46248</v>
      </c>
      <c r="C228" s="12">
        <f t="shared" si="21"/>
        <v>2026</v>
      </c>
      <c r="D228" s="12">
        <f t="shared" si="22"/>
        <v>3</v>
      </c>
      <c r="E228" s="12">
        <f t="shared" si="23"/>
        <v>8</v>
      </c>
      <c r="F228" s="12" t="str">
        <f t="shared" si="24"/>
        <v>August</v>
      </c>
      <c r="G228" s="12">
        <f t="shared" si="25"/>
        <v>33</v>
      </c>
      <c r="H228" s="12" t="str">
        <f t="shared" si="26"/>
        <v>Friday</v>
      </c>
      <c r="I228" s="39" t="str">
        <f t="shared" si="27"/>
        <v>Y</v>
      </c>
    </row>
    <row r="229" spans="2:9" x14ac:dyDescent="0.35">
      <c r="B229" s="36">
        <v>46249</v>
      </c>
      <c r="C229" s="11">
        <f t="shared" si="21"/>
        <v>2026</v>
      </c>
      <c r="D229" s="11">
        <f t="shared" si="22"/>
        <v>3</v>
      </c>
      <c r="E229" s="11">
        <f t="shared" si="23"/>
        <v>8</v>
      </c>
      <c r="F229" s="11" t="str">
        <f t="shared" si="24"/>
        <v>August</v>
      </c>
      <c r="G229" s="11">
        <f t="shared" si="25"/>
        <v>33</v>
      </c>
      <c r="H229" s="11" t="str">
        <f t="shared" si="26"/>
        <v>Saturday</v>
      </c>
      <c r="I229" s="38" t="str">
        <f t="shared" si="27"/>
        <v>Y</v>
      </c>
    </row>
    <row r="230" spans="2:9" x14ac:dyDescent="0.35">
      <c r="B230" s="37">
        <v>46250</v>
      </c>
      <c r="C230" s="12">
        <f t="shared" si="21"/>
        <v>2026</v>
      </c>
      <c r="D230" s="12">
        <f t="shared" si="22"/>
        <v>3</v>
      </c>
      <c r="E230" s="12">
        <f t="shared" si="23"/>
        <v>8</v>
      </c>
      <c r="F230" s="12" t="str">
        <f t="shared" si="24"/>
        <v>August</v>
      </c>
      <c r="G230" s="12">
        <f t="shared" si="25"/>
        <v>34</v>
      </c>
      <c r="H230" s="12" t="str">
        <f t="shared" si="26"/>
        <v>Sunday</v>
      </c>
      <c r="I230" s="39" t="str">
        <f t="shared" si="27"/>
        <v>N</v>
      </c>
    </row>
    <row r="231" spans="2:9" x14ac:dyDescent="0.35">
      <c r="B231" s="36">
        <v>46251</v>
      </c>
      <c r="C231" s="11">
        <f t="shared" si="21"/>
        <v>2026</v>
      </c>
      <c r="D231" s="11">
        <f t="shared" si="22"/>
        <v>3</v>
      </c>
      <c r="E231" s="11">
        <f t="shared" si="23"/>
        <v>8</v>
      </c>
      <c r="F231" s="11" t="str">
        <f t="shared" si="24"/>
        <v>August</v>
      </c>
      <c r="G231" s="11">
        <f t="shared" si="25"/>
        <v>34</v>
      </c>
      <c r="H231" s="11" t="str">
        <f t="shared" si="26"/>
        <v>Monday</v>
      </c>
      <c r="I231" s="38" t="str">
        <f t="shared" si="27"/>
        <v>N</v>
      </c>
    </row>
    <row r="232" spans="2:9" x14ac:dyDescent="0.35">
      <c r="B232" s="37">
        <v>46252</v>
      </c>
      <c r="C232" s="12">
        <f t="shared" si="21"/>
        <v>2026</v>
      </c>
      <c r="D232" s="12">
        <f t="shared" si="22"/>
        <v>3</v>
      </c>
      <c r="E232" s="12">
        <f t="shared" si="23"/>
        <v>8</v>
      </c>
      <c r="F232" s="12" t="str">
        <f t="shared" si="24"/>
        <v>August</v>
      </c>
      <c r="G232" s="12">
        <f t="shared" si="25"/>
        <v>34</v>
      </c>
      <c r="H232" s="12" t="str">
        <f t="shared" si="26"/>
        <v>Tuesday</v>
      </c>
      <c r="I232" s="39" t="str">
        <f t="shared" si="27"/>
        <v>N</v>
      </c>
    </row>
    <row r="233" spans="2:9" x14ac:dyDescent="0.35">
      <c r="B233" s="36">
        <v>46253</v>
      </c>
      <c r="C233" s="11">
        <f t="shared" si="21"/>
        <v>2026</v>
      </c>
      <c r="D233" s="11">
        <f t="shared" si="22"/>
        <v>3</v>
      </c>
      <c r="E233" s="11">
        <f t="shared" si="23"/>
        <v>8</v>
      </c>
      <c r="F233" s="11" t="str">
        <f t="shared" si="24"/>
        <v>August</v>
      </c>
      <c r="G233" s="11">
        <f t="shared" si="25"/>
        <v>34</v>
      </c>
      <c r="H233" s="11" t="str">
        <f t="shared" si="26"/>
        <v>Wednesday</v>
      </c>
      <c r="I233" s="38" t="str">
        <f t="shared" si="27"/>
        <v>N</v>
      </c>
    </row>
    <row r="234" spans="2:9" x14ac:dyDescent="0.35">
      <c r="B234" s="37">
        <v>46254</v>
      </c>
      <c r="C234" s="12">
        <f t="shared" si="21"/>
        <v>2026</v>
      </c>
      <c r="D234" s="12">
        <f t="shared" si="22"/>
        <v>3</v>
      </c>
      <c r="E234" s="12">
        <f t="shared" si="23"/>
        <v>8</v>
      </c>
      <c r="F234" s="12" t="str">
        <f t="shared" si="24"/>
        <v>August</v>
      </c>
      <c r="G234" s="12">
        <f t="shared" si="25"/>
        <v>34</v>
      </c>
      <c r="H234" s="12" t="str">
        <f t="shared" si="26"/>
        <v>Thursday</v>
      </c>
      <c r="I234" s="39" t="str">
        <f t="shared" si="27"/>
        <v>N</v>
      </c>
    </row>
    <row r="235" spans="2:9" x14ac:dyDescent="0.35">
      <c r="B235" s="36">
        <v>46255</v>
      </c>
      <c r="C235" s="11">
        <f t="shared" si="21"/>
        <v>2026</v>
      </c>
      <c r="D235" s="11">
        <f t="shared" si="22"/>
        <v>3</v>
      </c>
      <c r="E235" s="11">
        <f t="shared" si="23"/>
        <v>8</v>
      </c>
      <c r="F235" s="11" t="str">
        <f t="shared" si="24"/>
        <v>August</v>
      </c>
      <c r="G235" s="11">
        <f t="shared" si="25"/>
        <v>34</v>
      </c>
      <c r="H235" s="11" t="str">
        <f t="shared" si="26"/>
        <v>Friday</v>
      </c>
      <c r="I235" s="38" t="str">
        <f t="shared" si="27"/>
        <v>Y</v>
      </c>
    </row>
    <row r="236" spans="2:9" x14ac:dyDescent="0.35">
      <c r="B236" s="37">
        <v>46256</v>
      </c>
      <c r="C236" s="12">
        <f t="shared" si="21"/>
        <v>2026</v>
      </c>
      <c r="D236" s="12">
        <f t="shared" si="22"/>
        <v>3</v>
      </c>
      <c r="E236" s="12">
        <f t="shared" si="23"/>
        <v>8</v>
      </c>
      <c r="F236" s="12" t="str">
        <f t="shared" si="24"/>
        <v>August</v>
      </c>
      <c r="G236" s="12">
        <f t="shared" si="25"/>
        <v>34</v>
      </c>
      <c r="H236" s="12" t="str">
        <f t="shared" si="26"/>
        <v>Saturday</v>
      </c>
      <c r="I236" s="39" t="str">
        <f t="shared" si="27"/>
        <v>Y</v>
      </c>
    </row>
    <row r="237" spans="2:9" x14ac:dyDescent="0.35">
      <c r="B237" s="36">
        <v>46257</v>
      </c>
      <c r="C237" s="11">
        <f t="shared" si="21"/>
        <v>2026</v>
      </c>
      <c r="D237" s="11">
        <f t="shared" si="22"/>
        <v>3</v>
      </c>
      <c r="E237" s="11">
        <f t="shared" si="23"/>
        <v>8</v>
      </c>
      <c r="F237" s="11" t="str">
        <f t="shared" si="24"/>
        <v>August</v>
      </c>
      <c r="G237" s="11">
        <f t="shared" si="25"/>
        <v>35</v>
      </c>
      <c r="H237" s="11" t="str">
        <f t="shared" si="26"/>
        <v>Sunday</v>
      </c>
      <c r="I237" s="38" t="str">
        <f t="shared" si="27"/>
        <v>N</v>
      </c>
    </row>
    <row r="238" spans="2:9" x14ac:dyDescent="0.35">
      <c r="B238" s="37">
        <v>46258</v>
      </c>
      <c r="C238" s="12">
        <f t="shared" si="21"/>
        <v>2026</v>
      </c>
      <c r="D238" s="12">
        <f t="shared" si="22"/>
        <v>3</v>
      </c>
      <c r="E238" s="12">
        <f t="shared" si="23"/>
        <v>8</v>
      </c>
      <c r="F238" s="12" t="str">
        <f t="shared" si="24"/>
        <v>August</v>
      </c>
      <c r="G238" s="12">
        <f t="shared" si="25"/>
        <v>35</v>
      </c>
      <c r="H238" s="12" t="str">
        <f t="shared" si="26"/>
        <v>Monday</v>
      </c>
      <c r="I238" s="39" t="str">
        <f t="shared" si="27"/>
        <v>N</v>
      </c>
    </row>
    <row r="239" spans="2:9" x14ac:dyDescent="0.35">
      <c r="B239" s="36">
        <v>46259</v>
      </c>
      <c r="C239" s="11">
        <f t="shared" si="21"/>
        <v>2026</v>
      </c>
      <c r="D239" s="11">
        <f t="shared" si="22"/>
        <v>3</v>
      </c>
      <c r="E239" s="11">
        <f t="shared" si="23"/>
        <v>8</v>
      </c>
      <c r="F239" s="11" t="str">
        <f t="shared" si="24"/>
        <v>August</v>
      </c>
      <c r="G239" s="11">
        <f t="shared" si="25"/>
        <v>35</v>
      </c>
      <c r="H239" s="11" t="str">
        <f t="shared" si="26"/>
        <v>Tuesday</v>
      </c>
      <c r="I239" s="38" t="str">
        <f t="shared" si="27"/>
        <v>N</v>
      </c>
    </row>
    <row r="240" spans="2:9" x14ac:dyDescent="0.35">
      <c r="B240" s="37">
        <v>46260</v>
      </c>
      <c r="C240" s="12">
        <f t="shared" si="21"/>
        <v>2026</v>
      </c>
      <c r="D240" s="12">
        <f t="shared" si="22"/>
        <v>3</v>
      </c>
      <c r="E240" s="12">
        <f t="shared" si="23"/>
        <v>8</v>
      </c>
      <c r="F240" s="12" t="str">
        <f t="shared" si="24"/>
        <v>August</v>
      </c>
      <c r="G240" s="12">
        <f t="shared" si="25"/>
        <v>35</v>
      </c>
      <c r="H240" s="12" t="str">
        <f t="shared" si="26"/>
        <v>Wednesday</v>
      </c>
      <c r="I240" s="39" t="str">
        <f t="shared" si="27"/>
        <v>N</v>
      </c>
    </row>
    <row r="241" spans="2:9" x14ac:dyDescent="0.35">
      <c r="B241" s="36">
        <v>46261</v>
      </c>
      <c r="C241" s="11">
        <f t="shared" si="21"/>
        <v>2026</v>
      </c>
      <c r="D241" s="11">
        <f t="shared" si="22"/>
        <v>3</v>
      </c>
      <c r="E241" s="11">
        <f t="shared" si="23"/>
        <v>8</v>
      </c>
      <c r="F241" s="11" t="str">
        <f t="shared" si="24"/>
        <v>August</v>
      </c>
      <c r="G241" s="11">
        <f t="shared" si="25"/>
        <v>35</v>
      </c>
      <c r="H241" s="11" t="str">
        <f t="shared" si="26"/>
        <v>Thursday</v>
      </c>
      <c r="I241" s="38" t="str">
        <f t="shared" si="27"/>
        <v>N</v>
      </c>
    </row>
    <row r="242" spans="2:9" x14ac:dyDescent="0.35">
      <c r="B242" s="37">
        <v>46262</v>
      </c>
      <c r="C242" s="12">
        <f t="shared" si="21"/>
        <v>2026</v>
      </c>
      <c r="D242" s="12">
        <f t="shared" si="22"/>
        <v>3</v>
      </c>
      <c r="E242" s="12">
        <f t="shared" si="23"/>
        <v>8</v>
      </c>
      <c r="F242" s="12" t="str">
        <f t="shared" si="24"/>
        <v>August</v>
      </c>
      <c r="G242" s="12">
        <f t="shared" si="25"/>
        <v>35</v>
      </c>
      <c r="H242" s="12" t="str">
        <f t="shared" si="26"/>
        <v>Friday</v>
      </c>
      <c r="I242" s="39" t="str">
        <f t="shared" si="27"/>
        <v>Y</v>
      </c>
    </row>
    <row r="243" spans="2:9" x14ac:dyDescent="0.35">
      <c r="B243" s="36">
        <v>46263</v>
      </c>
      <c r="C243" s="11">
        <f t="shared" si="21"/>
        <v>2026</v>
      </c>
      <c r="D243" s="11">
        <f t="shared" si="22"/>
        <v>3</v>
      </c>
      <c r="E243" s="11">
        <f t="shared" si="23"/>
        <v>8</v>
      </c>
      <c r="F243" s="11" t="str">
        <f t="shared" si="24"/>
        <v>August</v>
      </c>
      <c r="G243" s="11">
        <f t="shared" si="25"/>
        <v>35</v>
      </c>
      <c r="H243" s="11" t="str">
        <f t="shared" si="26"/>
        <v>Saturday</v>
      </c>
      <c r="I243" s="38" t="str">
        <f t="shared" si="27"/>
        <v>Y</v>
      </c>
    </row>
    <row r="244" spans="2:9" x14ac:dyDescent="0.35">
      <c r="B244" s="37">
        <v>46264</v>
      </c>
      <c r="C244" s="12">
        <f t="shared" si="21"/>
        <v>2026</v>
      </c>
      <c r="D244" s="12">
        <f t="shared" si="22"/>
        <v>3</v>
      </c>
      <c r="E244" s="12">
        <f t="shared" si="23"/>
        <v>8</v>
      </c>
      <c r="F244" s="12" t="str">
        <f t="shared" si="24"/>
        <v>August</v>
      </c>
      <c r="G244" s="12">
        <f t="shared" si="25"/>
        <v>36</v>
      </c>
      <c r="H244" s="12" t="str">
        <f t="shared" si="26"/>
        <v>Sunday</v>
      </c>
      <c r="I244" s="39" t="str">
        <f t="shared" si="27"/>
        <v>N</v>
      </c>
    </row>
    <row r="245" spans="2:9" x14ac:dyDescent="0.35">
      <c r="B245" s="36">
        <v>46265</v>
      </c>
      <c r="C245" s="11">
        <f t="shared" si="21"/>
        <v>2026</v>
      </c>
      <c r="D245" s="11">
        <f t="shared" si="22"/>
        <v>3</v>
      </c>
      <c r="E245" s="11">
        <f t="shared" si="23"/>
        <v>8</v>
      </c>
      <c r="F245" s="11" t="str">
        <f t="shared" si="24"/>
        <v>August</v>
      </c>
      <c r="G245" s="11">
        <f t="shared" si="25"/>
        <v>36</v>
      </c>
      <c r="H245" s="11" t="str">
        <f t="shared" si="26"/>
        <v>Monday</v>
      </c>
      <c r="I245" s="38" t="str">
        <f t="shared" si="27"/>
        <v>N</v>
      </c>
    </row>
    <row r="246" spans="2:9" x14ac:dyDescent="0.35">
      <c r="B246" s="37">
        <v>46266</v>
      </c>
      <c r="C246" s="12">
        <f t="shared" si="21"/>
        <v>2026</v>
      </c>
      <c r="D246" s="12">
        <f t="shared" si="22"/>
        <v>3</v>
      </c>
      <c r="E246" s="12">
        <f t="shared" si="23"/>
        <v>9</v>
      </c>
      <c r="F246" s="12" t="str">
        <f t="shared" si="24"/>
        <v>September</v>
      </c>
      <c r="G246" s="12">
        <f t="shared" si="25"/>
        <v>36</v>
      </c>
      <c r="H246" s="12" t="str">
        <f t="shared" si="26"/>
        <v>Tuesday</v>
      </c>
      <c r="I246" s="39" t="str">
        <f t="shared" si="27"/>
        <v>N</v>
      </c>
    </row>
    <row r="247" spans="2:9" x14ac:dyDescent="0.35">
      <c r="B247" s="36">
        <v>46267</v>
      </c>
      <c r="C247" s="11">
        <f t="shared" si="21"/>
        <v>2026</v>
      </c>
      <c r="D247" s="11">
        <f t="shared" si="22"/>
        <v>3</v>
      </c>
      <c r="E247" s="11">
        <f t="shared" si="23"/>
        <v>9</v>
      </c>
      <c r="F247" s="11" t="str">
        <f t="shared" si="24"/>
        <v>September</v>
      </c>
      <c r="G247" s="11">
        <f t="shared" si="25"/>
        <v>36</v>
      </c>
      <c r="H247" s="11" t="str">
        <f t="shared" si="26"/>
        <v>Wednesday</v>
      </c>
      <c r="I247" s="38" t="str">
        <f t="shared" si="27"/>
        <v>N</v>
      </c>
    </row>
    <row r="248" spans="2:9" x14ac:dyDescent="0.35">
      <c r="B248" s="37">
        <v>46268</v>
      </c>
      <c r="C248" s="12">
        <f t="shared" si="21"/>
        <v>2026</v>
      </c>
      <c r="D248" s="12">
        <f t="shared" si="22"/>
        <v>3</v>
      </c>
      <c r="E248" s="12">
        <f t="shared" si="23"/>
        <v>9</v>
      </c>
      <c r="F248" s="12" t="str">
        <f t="shared" si="24"/>
        <v>September</v>
      </c>
      <c r="G248" s="12">
        <f t="shared" si="25"/>
        <v>36</v>
      </c>
      <c r="H248" s="12" t="str">
        <f t="shared" si="26"/>
        <v>Thursday</v>
      </c>
      <c r="I248" s="39" t="str">
        <f t="shared" si="27"/>
        <v>N</v>
      </c>
    </row>
    <row r="249" spans="2:9" x14ac:dyDescent="0.35">
      <c r="B249" s="36">
        <v>46269</v>
      </c>
      <c r="C249" s="11">
        <f t="shared" si="21"/>
        <v>2026</v>
      </c>
      <c r="D249" s="11">
        <f t="shared" si="22"/>
        <v>3</v>
      </c>
      <c r="E249" s="11">
        <f t="shared" si="23"/>
        <v>9</v>
      </c>
      <c r="F249" s="11" t="str">
        <f t="shared" si="24"/>
        <v>September</v>
      </c>
      <c r="G249" s="11">
        <f t="shared" si="25"/>
        <v>36</v>
      </c>
      <c r="H249" s="11" t="str">
        <f t="shared" si="26"/>
        <v>Friday</v>
      </c>
      <c r="I249" s="38" t="str">
        <f t="shared" si="27"/>
        <v>Y</v>
      </c>
    </row>
    <row r="250" spans="2:9" x14ac:dyDescent="0.35">
      <c r="B250" s="37">
        <v>46270</v>
      </c>
      <c r="C250" s="12">
        <f t="shared" si="21"/>
        <v>2026</v>
      </c>
      <c r="D250" s="12">
        <f t="shared" si="22"/>
        <v>3</v>
      </c>
      <c r="E250" s="12">
        <f t="shared" si="23"/>
        <v>9</v>
      </c>
      <c r="F250" s="12" t="str">
        <f t="shared" si="24"/>
        <v>September</v>
      </c>
      <c r="G250" s="12">
        <f t="shared" si="25"/>
        <v>36</v>
      </c>
      <c r="H250" s="12" t="str">
        <f t="shared" si="26"/>
        <v>Saturday</v>
      </c>
      <c r="I250" s="39" t="str">
        <f t="shared" si="27"/>
        <v>Y</v>
      </c>
    </row>
    <row r="251" spans="2:9" x14ac:dyDescent="0.35">
      <c r="B251" s="36">
        <v>46271</v>
      </c>
      <c r="C251" s="11">
        <f t="shared" si="21"/>
        <v>2026</v>
      </c>
      <c r="D251" s="11">
        <f t="shared" si="22"/>
        <v>3</v>
      </c>
      <c r="E251" s="11">
        <f t="shared" si="23"/>
        <v>9</v>
      </c>
      <c r="F251" s="11" t="str">
        <f t="shared" si="24"/>
        <v>September</v>
      </c>
      <c r="G251" s="11">
        <f t="shared" si="25"/>
        <v>37</v>
      </c>
      <c r="H251" s="11" t="str">
        <f t="shared" si="26"/>
        <v>Sunday</v>
      </c>
      <c r="I251" s="38" t="str">
        <f t="shared" si="27"/>
        <v>N</v>
      </c>
    </row>
    <row r="252" spans="2:9" x14ac:dyDescent="0.35">
      <c r="B252" s="37">
        <v>46272</v>
      </c>
      <c r="C252" s="12">
        <f t="shared" si="21"/>
        <v>2026</v>
      </c>
      <c r="D252" s="12">
        <f t="shared" si="22"/>
        <v>3</v>
      </c>
      <c r="E252" s="12">
        <f t="shared" si="23"/>
        <v>9</v>
      </c>
      <c r="F252" s="12" t="str">
        <f t="shared" si="24"/>
        <v>September</v>
      </c>
      <c r="G252" s="12">
        <f t="shared" si="25"/>
        <v>37</v>
      </c>
      <c r="H252" s="12" t="str">
        <f t="shared" si="26"/>
        <v>Monday</v>
      </c>
      <c r="I252" s="39" t="str">
        <f t="shared" si="27"/>
        <v>N</v>
      </c>
    </row>
    <row r="253" spans="2:9" x14ac:dyDescent="0.35">
      <c r="B253" s="36">
        <v>46273</v>
      </c>
      <c r="C253" s="11">
        <f t="shared" si="21"/>
        <v>2026</v>
      </c>
      <c r="D253" s="11">
        <f t="shared" si="22"/>
        <v>3</v>
      </c>
      <c r="E253" s="11">
        <f t="shared" si="23"/>
        <v>9</v>
      </c>
      <c r="F253" s="11" t="str">
        <f t="shared" si="24"/>
        <v>September</v>
      </c>
      <c r="G253" s="11">
        <f t="shared" si="25"/>
        <v>37</v>
      </c>
      <c r="H253" s="11" t="str">
        <f t="shared" si="26"/>
        <v>Tuesday</v>
      </c>
      <c r="I253" s="38" t="str">
        <f t="shared" si="27"/>
        <v>N</v>
      </c>
    </row>
    <row r="254" spans="2:9" x14ac:dyDescent="0.35">
      <c r="B254" s="37">
        <v>46274</v>
      </c>
      <c r="C254" s="12">
        <f t="shared" si="21"/>
        <v>2026</v>
      </c>
      <c r="D254" s="12">
        <f t="shared" si="22"/>
        <v>3</v>
      </c>
      <c r="E254" s="12">
        <f t="shared" si="23"/>
        <v>9</v>
      </c>
      <c r="F254" s="12" t="str">
        <f t="shared" si="24"/>
        <v>September</v>
      </c>
      <c r="G254" s="12">
        <f t="shared" si="25"/>
        <v>37</v>
      </c>
      <c r="H254" s="12" t="str">
        <f t="shared" si="26"/>
        <v>Wednesday</v>
      </c>
      <c r="I254" s="39" t="str">
        <f t="shared" si="27"/>
        <v>N</v>
      </c>
    </row>
    <row r="255" spans="2:9" x14ac:dyDescent="0.35">
      <c r="B255" s="36">
        <v>46275</v>
      </c>
      <c r="C255" s="11">
        <f t="shared" si="21"/>
        <v>2026</v>
      </c>
      <c r="D255" s="11">
        <f t="shared" si="22"/>
        <v>3</v>
      </c>
      <c r="E255" s="11">
        <f t="shared" si="23"/>
        <v>9</v>
      </c>
      <c r="F255" s="11" t="str">
        <f t="shared" si="24"/>
        <v>September</v>
      </c>
      <c r="G255" s="11">
        <f t="shared" si="25"/>
        <v>37</v>
      </c>
      <c r="H255" s="11" t="str">
        <f t="shared" si="26"/>
        <v>Thursday</v>
      </c>
      <c r="I255" s="38" t="str">
        <f t="shared" si="27"/>
        <v>N</v>
      </c>
    </row>
    <row r="256" spans="2:9" x14ac:dyDescent="0.35">
      <c r="B256" s="37">
        <v>46276</v>
      </c>
      <c r="C256" s="12">
        <f t="shared" si="21"/>
        <v>2026</v>
      </c>
      <c r="D256" s="12">
        <f t="shared" si="22"/>
        <v>3</v>
      </c>
      <c r="E256" s="12">
        <f t="shared" si="23"/>
        <v>9</v>
      </c>
      <c r="F256" s="12" t="str">
        <f t="shared" si="24"/>
        <v>September</v>
      </c>
      <c r="G256" s="12">
        <f t="shared" si="25"/>
        <v>37</v>
      </c>
      <c r="H256" s="12" t="str">
        <f t="shared" si="26"/>
        <v>Friday</v>
      </c>
      <c r="I256" s="39" t="str">
        <f t="shared" si="27"/>
        <v>Y</v>
      </c>
    </row>
    <row r="257" spans="2:9" x14ac:dyDescent="0.35">
      <c r="B257" s="36">
        <v>46277</v>
      </c>
      <c r="C257" s="11">
        <f t="shared" si="21"/>
        <v>2026</v>
      </c>
      <c r="D257" s="11">
        <f t="shared" si="22"/>
        <v>3</v>
      </c>
      <c r="E257" s="11">
        <f t="shared" si="23"/>
        <v>9</v>
      </c>
      <c r="F257" s="11" t="str">
        <f t="shared" si="24"/>
        <v>September</v>
      </c>
      <c r="G257" s="11">
        <f t="shared" si="25"/>
        <v>37</v>
      </c>
      <c r="H257" s="11" t="str">
        <f t="shared" si="26"/>
        <v>Saturday</v>
      </c>
      <c r="I257" s="38" t="str">
        <f t="shared" si="27"/>
        <v>Y</v>
      </c>
    </row>
    <row r="258" spans="2:9" x14ac:dyDescent="0.35">
      <c r="B258" s="37">
        <v>46278</v>
      </c>
      <c r="C258" s="12">
        <f t="shared" si="21"/>
        <v>2026</v>
      </c>
      <c r="D258" s="12">
        <f t="shared" si="22"/>
        <v>3</v>
      </c>
      <c r="E258" s="12">
        <f t="shared" si="23"/>
        <v>9</v>
      </c>
      <c r="F258" s="12" t="str">
        <f t="shared" si="24"/>
        <v>September</v>
      </c>
      <c r="G258" s="12">
        <f t="shared" si="25"/>
        <v>38</v>
      </c>
      <c r="H258" s="12" t="str">
        <f t="shared" si="26"/>
        <v>Sunday</v>
      </c>
      <c r="I258" s="39" t="str">
        <f t="shared" si="27"/>
        <v>N</v>
      </c>
    </row>
    <row r="259" spans="2:9" x14ac:dyDescent="0.35">
      <c r="B259" s="36">
        <v>46279</v>
      </c>
      <c r="C259" s="11">
        <f t="shared" ref="C259:C322" si="28">YEAR(B259)</f>
        <v>2026</v>
      </c>
      <c r="D259" s="11">
        <f t="shared" ref="D259:D322" si="29">ROUNDUP(MONTH(B259)/3,0)</f>
        <v>3</v>
      </c>
      <c r="E259" s="11">
        <f t="shared" ref="E259:E322" si="30">MONTH(B259)</f>
        <v>9</v>
      </c>
      <c r="F259" s="11" t="str">
        <f t="shared" ref="F259:F322" si="31">TEXT(B259,"mmmm")</f>
        <v>September</v>
      </c>
      <c r="G259" s="11">
        <f t="shared" ref="G259:G322" si="32">WEEKNUM(B259,1)</f>
        <v>38</v>
      </c>
      <c r="H259" s="11" t="str">
        <f t="shared" ref="H259:H322" si="33">TEXT(B259,"dddd")</f>
        <v>Monday</v>
      </c>
      <c r="I259" s="38" t="str">
        <f t="shared" ref="I259:I322" si="34">IF(OR(WEEKDAY(B259)=6,WEEKDAY(B259)=7),"Y","N")</f>
        <v>N</v>
      </c>
    </row>
    <row r="260" spans="2:9" x14ac:dyDescent="0.35">
      <c r="B260" s="37">
        <v>46280</v>
      </c>
      <c r="C260" s="12">
        <f t="shared" si="28"/>
        <v>2026</v>
      </c>
      <c r="D260" s="12">
        <f t="shared" si="29"/>
        <v>3</v>
      </c>
      <c r="E260" s="12">
        <f t="shared" si="30"/>
        <v>9</v>
      </c>
      <c r="F260" s="12" t="str">
        <f t="shared" si="31"/>
        <v>September</v>
      </c>
      <c r="G260" s="12">
        <f t="shared" si="32"/>
        <v>38</v>
      </c>
      <c r="H260" s="12" t="str">
        <f t="shared" si="33"/>
        <v>Tuesday</v>
      </c>
      <c r="I260" s="39" t="str">
        <f t="shared" si="34"/>
        <v>N</v>
      </c>
    </row>
    <row r="261" spans="2:9" x14ac:dyDescent="0.35">
      <c r="B261" s="36">
        <v>46281</v>
      </c>
      <c r="C261" s="11">
        <f t="shared" si="28"/>
        <v>2026</v>
      </c>
      <c r="D261" s="11">
        <f t="shared" si="29"/>
        <v>3</v>
      </c>
      <c r="E261" s="11">
        <f t="shared" si="30"/>
        <v>9</v>
      </c>
      <c r="F261" s="11" t="str">
        <f t="shared" si="31"/>
        <v>September</v>
      </c>
      <c r="G261" s="11">
        <f t="shared" si="32"/>
        <v>38</v>
      </c>
      <c r="H261" s="11" t="str">
        <f t="shared" si="33"/>
        <v>Wednesday</v>
      </c>
      <c r="I261" s="38" t="str">
        <f t="shared" si="34"/>
        <v>N</v>
      </c>
    </row>
    <row r="262" spans="2:9" x14ac:dyDescent="0.35">
      <c r="B262" s="37">
        <v>46282</v>
      </c>
      <c r="C262" s="12">
        <f t="shared" si="28"/>
        <v>2026</v>
      </c>
      <c r="D262" s="12">
        <f t="shared" si="29"/>
        <v>3</v>
      </c>
      <c r="E262" s="12">
        <f t="shared" si="30"/>
        <v>9</v>
      </c>
      <c r="F262" s="12" t="str">
        <f t="shared" si="31"/>
        <v>September</v>
      </c>
      <c r="G262" s="12">
        <f t="shared" si="32"/>
        <v>38</v>
      </c>
      <c r="H262" s="12" t="str">
        <f t="shared" si="33"/>
        <v>Thursday</v>
      </c>
      <c r="I262" s="39" t="str">
        <f t="shared" si="34"/>
        <v>N</v>
      </c>
    </row>
    <row r="263" spans="2:9" x14ac:dyDescent="0.35">
      <c r="B263" s="36">
        <v>46283</v>
      </c>
      <c r="C263" s="11">
        <f t="shared" si="28"/>
        <v>2026</v>
      </c>
      <c r="D263" s="11">
        <f t="shared" si="29"/>
        <v>3</v>
      </c>
      <c r="E263" s="11">
        <f t="shared" si="30"/>
        <v>9</v>
      </c>
      <c r="F263" s="11" t="str">
        <f t="shared" si="31"/>
        <v>September</v>
      </c>
      <c r="G263" s="11">
        <f t="shared" si="32"/>
        <v>38</v>
      </c>
      <c r="H263" s="11" t="str">
        <f t="shared" si="33"/>
        <v>Friday</v>
      </c>
      <c r="I263" s="38" t="str">
        <f t="shared" si="34"/>
        <v>Y</v>
      </c>
    </row>
    <row r="264" spans="2:9" x14ac:dyDescent="0.35">
      <c r="B264" s="37">
        <v>46284</v>
      </c>
      <c r="C264" s="12">
        <f t="shared" si="28"/>
        <v>2026</v>
      </c>
      <c r="D264" s="12">
        <f t="shared" si="29"/>
        <v>3</v>
      </c>
      <c r="E264" s="12">
        <f t="shared" si="30"/>
        <v>9</v>
      </c>
      <c r="F264" s="12" t="str">
        <f t="shared" si="31"/>
        <v>September</v>
      </c>
      <c r="G264" s="12">
        <f t="shared" si="32"/>
        <v>38</v>
      </c>
      <c r="H264" s="12" t="str">
        <f t="shared" si="33"/>
        <v>Saturday</v>
      </c>
      <c r="I264" s="39" t="str">
        <f t="shared" si="34"/>
        <v>Y</v>
      </c>
    </row>
    <row r="265" spans="2:9" x14ac:dyDescent="0.35">
      <c r="B265" s="36">
        <v>46285</v>
      </c>
      <c r="C265" s="11">
        <f t="shared" si="28"/>
        <v>2026</v>
      </c>
      <c r="D265" s="11">
        <f t="shared" si="29"/>
        <v>3</v>
      </c>
      <c r="E265" s="11">
        <f t="shared" si="30"/>
        <v>9</v>
      </c>
      <c r="F265" s="11" t="str">
        <f t="shared" si="31"/>
        <v>September</v>
      </c>
      <c r="G265" s="11">
        <f t="shared" si="32"/>
        <v>39</v>
      </c>
      <c r="H265" s="11" t="str">
        <f t="shared" si="33"/>
        <v>Sunday</v>
      </c>
      <c r="I265" s="38" t="str">
        <f t="shared" si="34"/>
        <v>N</v>
      </c>
    </row>
    <row r="266" spans="2:9" x14ac:dyDescent="0.35">
      <c r="B266" s="37">
        <v>46286</v>
      </c>
      <c r="C266" s="12">
        <f t="shared" si="28"/>
        <v>2026</v>
      </c>
      <c r="D266" s="12">
        <f t="shared" si="29"/>
        <v>3</v>
      </c>
      <c r="E266" s="12">
        <f t="shared" si="30"/>
        <v>9</v>
      </c>
      <c r="F266" s="12" t="str">
        <f t="shared" si="31"/>
        <v>September</v>
      </c>
      <c r="G266" s="12">
        <f t="shared" si="32"/>
        <v>39</v>
      </c>
      <c r="H266" s="12" t="str">
        <f t="shared" si="33"/>
        <v>Monday</v>
      </c>
      <c r="I266" s="39" t="str">
        <f t="shared" si="34"/>
        <v>N</v>
      </c>
    </row>
    <row r="267" spans="2:9" x14ac:dyDescent="0.35">
      <c r="B267" s="36">
        <v>46287</v>
      </c>
      <c r="C267" s="11">
        <f t="shared" si="28"/>
        <v>2026</v>
      </c>
      <c r="D267" s="11">
        <f t="shared" si="29"/>
        <v>3</v>
      </c>
      <c r="E267" s="11">
        <f t="shared" si="30"/>
        <v>9</v>
      </c>
      <c r="F267" s="11" t="str">
        <f t="shared" si="31"/>
        <v>September</v>
      </c>
      <c r="G267" s="11">
        <f t="shared" si="32"/>
        <v>39</v>
      </c>
      <c r="H267" s="11" t="str">
        <f t="shared" si="33"/>
        <v>Tuesday</v>
      </c>
      <c r="I267" s="38" t="str">
        <f t="shared" si="34"/>
        <v>N</v>
      </c>
    </row>
    <row r="268" spans="2:9" x14ac:dyDescent="0.35">
      <c r="B268" s="37">
        <v>46288</v>
      </c>
      <c r="C268" s="12">
        <f t="shared" si="28"/>
        <v>2026</v>
      </c>
      <c r="D268" s="12">
        <f t="shared" si="29"/>
        <v>3</v>
      </c>
      <c r="E268" s="12">
        <f t="shared" si="30"/>
        <v>9</v>
      </c>
      <c r="F268" s="12" t="str">
        <f t="shared" si="31"/>
        <v>September</v>
      </c>
      <c r="G268" s="12">
        <f t="shared" si="32"/>
        <v>39</v>
      </c>
      <c r="H268" s="12" t="str">
        <f t="shared" si="33"/>
        <v>Wednesday</v>
      </c>
      <c r="I268" s="39" t="str">
        <f t="shared" si="34"/>
        <v>N</v>
      </c>
    </row>
    <row r="269" spans="2:9" x14ac:dyDescent="0.35">
      <c r="B269" s="36">
        <v>46289</v>
      </c>
      <c r="C269" s="11">
        <f t="shared" si="28"/>
        <v>2026</v>
      </c>
      <c r="D269" s="11">
        <f t="shared" si="29"/>
        <v>3</v>
      </c>
      <c r="E269" s="11">
        <f t="shared" si="30"/>
        <v>9</v>
      </c>
      <c r="F269" s="11" t="str">
        <f t="shared" si="31"/>
        <v>September</v>
      </c>
      <c r="G269" s="11">
        <f t="shared" si="32"/>
        <v>39</v>
      </c>
      <c r="H269" s="11" t="str">
        <f t="shared" si="33"/>
        <v>Thursday</v>
      </c>
      <c r="I269" s="38" t="str">
        <f t="shared" si="34"/>
        <v>N</v>
      </c>
    </row>
    <row r="270" spans="2:9" x14ac:dyDescent="0.35">
      <c r="B270" s="37">
        <v>46290</v>
      </c>
      <c r="C270" s="12">
        <f t="shared" si="28"/>
        <v>2026</v>
      </c>
      <c r="D270" s="12">
        <f t="shared" si="29"/>
        <v>3</v>
      </c>
      <c r="E270" s="12">
        <f t="shared" si="30"/>
        <v>9</v>
      </c>
      <c r="F270" s="12" t="str">
        <f t="shared" si="31"/>
        <v>September</v>
      </c>
      <c r="G270" s="12">
        <f t="shared" si="32"/>
        <v>39</v>
      </c>
      <c r="H270" s="12" t="str">
        <f t="shared" si="33"/>
        <v>Friday</v>
      </c>
      <c r="I270" s="39" t="str">
        <f t="shared" si="34"/>
        <v>Y</v>
      </c>
    </row>
    <row r="271" spans="2:9" x14ac:dyDescent="0.35">
      <c r="B271" s="36">
        <v>46291</v>
      </c>
      <c r="C271" s="11">
        <f t="shared" si="28"/>
        <v>2026</v>
      </c>
      <c r="D271" s="11">
        <f t="shared" si="29"/>
        <v>3</v>
      </c>
      <c r="E271" s="11">
        <f t="shared" si="30"/>
        <v>9</v>
      </c>
      <c r="F271" s="11" t="str">
        <f t="shared" si="31"/>
        <v>September</v>
      </c>
      <c r="G271" s="11">
        <f t="shared" si="32"/>
        <v>39</v>
      </c>
      <c r="H271" s="11" t="str">
        <f t="shared" si="33"/>
        <v>Saturday</v>
      </c>
      <c r="I271" s="38" t="str">
        <f t="shared" si="34"/>
        <v>Y</v>
      </c>
    </row>
    <row r="272" spans="2:9" x14ac:dyDescent="0.35">
      <c r="B272" s="37">
        <v>46292</v>
      </c>
      <c r="C272" s="12">
        <f t="shared" si="28"/>
        <v>2026</v>
      </c>
      <c r="D272" s="12">
        <f t="shared" si="29"/>
        <v>3</v>
      </c>
      <c r="E272" s="12">
        <f t="shared" si="30"/>
        <v>9</v>
      </c>
      <c r="F272" s="12" t="str">
        <f t="shared" si="31"/>
        <v>September</v>
      </c>
      <c r="G272" s="12">
        <f t="shared" si="32"/>
        <v>40</v>
      </c>
      <c r="H272" s="12" t="str">
        <f t="shared" si="33"/>
        <v>Sunday</v>
      </c>
      <c r="I272" s="39" t="str">
        <f t="shared" si="34"/>
        <v>N</v>
      </c>
    </row>
    <row r="273" spans="2:9" x14ac:dyDescent="0.35">
      <c r="B273" s="36">
        <v>46293</v>
      </c>
      <c r="C273" s="11">
        <f t="shared" si="28"/>
        <v>2026</v>
      </c>
      <c r="D273" s="11">
        <f t="shared" si="29"/>
        <v>3</v>
      </c>
      <c r="E273" s="11">
        <f t="shared" si="30"/>
        <v>9</v>
      </c>
      <c r="F273" s="11" t="str">
        <f t="shared" si="31"/>
        <v>September</v>
      </c>
      <c r="G273" s="11">
        <f t="shared" si="32"/>
        <v>40</v>
      </c>
      <c r="H273" s="11" t="str">
        <f t="shared" si="33"/>
        <v>Monday</v>
      </c>
      <c r="I273" s="38" t="str">
        <f t="shared" si="34"/>
        <v>N</v>
      </c>
    </row>
    <row r="274" spans="2:9" x14ac:dyDescent="0.35">
      <c r="B274" s="37">
        <v>46294</v>
      </c>
      <c r="C274" s="12">
        <f t="shared" si="28"/>
        <v>2026</v>
      </c>
      <c r="D274" s="12">
        <f t="shared" si="29"/>
        <v>3</v>
      </c>
      <c r="E274" s="12">
        <f t="shared" si="30"/>
        <v>9</v>
      </c>
      <c r="F274" s="12" t="str">
        <f t="shared" si="31"/>
        <v>September</v>
      </c>
      <c r="G274" s="12">
        <f t="shared" si="32"/>
        <v>40</v>
      </c>
      <c r="H274" s="12" t="str">
        <f t="shared" si="33"/>
        <v>Tuesday</v>
      </c>
      <c r="I274" s="39" t="str">
        <f t="shared" si="34"/>
        <v>N</v>
      </c>
    </row>
    <row r="275" spans="2:9" x14ac:dyDescent="0.35">
      <c r="B275" s="36">
        <v>46295</v>
      </c>
      <c r="C275" s="11">
        <f t="shared" si="28"/>
        <v>2026</v>
      </c>
      <c r="D275" s="11">
        <f t="shared" si="29"/>
        <v>3</v>
      </c>
      <c r="E275" s="11">
        <f t="shared" si="30"/>
        <v>9</v>
      </c>
      <c r="F275" s="11" t="str">
        <f t="shared" si="31"/>
        <v>September</v>
      </c>
      <c r="G275" s="11">
        <f t="shared" si="32"/>
        <v>40</v>
      </c>
      <c r="H275" s="11" t="str">
        <f t="shared" si="33"/>
        <v>Wednesday</v>
      </c>
      <c r="I275" s="38" t="str">
        <f t="shared" si="34"/>
        <v>N</v>
      </c>
    </row>
    <row r="276" spans="2:9" x14ac:dyDescent="0.35">
      <c r="B276" s="37">
        <v>46296</v>
      </c>
      <c r="C276" s="12">
        <f t="shared" si="28"/>
        <v>2026</v>
      </c>
      <c r="D276" s="12">
        <f t="shared" si="29"/>
        <v>4</v>
      </c>
      <c r="E276" s="12">
        <f t="shared" si="30"/>
        <v>10</v>
      </c>
      <c r="F276" s="12" t="str">
        <f t="shared" si="31"/>
        <v>October</v>
      </c>
      <c r="G276" s="12">
        <f t="shared" si="32"/>
        <v>40</v>
      </c>
      <c r="H276" s="12" t="str">
        <f t="shared" si="33"/>
        <v>Thursday</v>
      </c>
      <c r="I276" s="39" t="str">
        <f t="shared" si="34"/>
        <v>N</v>
      </c>
    </row>
    <row r="277" spans="2:9" x14ac:dyDescent="0.35">
      <c r="B277" s="36">
        <v>46297</v>
      </c>
      <c r="C277" s="11">
        <f t="shared" si="28"/>
        <v>2026</v>
      </c>
      <c r="D277" s="11">
        <f t="shared" si="29"/>
        <v>4</v>
      </c>
      <c r="E277" s="11">
        <f t="shared" si="30"/>
        <v>10</v>
      </c>
      <c r="F277" s="11" t="str">
        <f t="shared" si="31"/>
        <v>October</v>
      </c>
      <c r="G277" s="11">
        <f t="shared" si="32"/>
        <v>40</v>
      </c>
      <c r="H277" s="11" t="str">
        <f t="shared" si="33"/>
        <v>Friday</v>
      </c>
      <c r="I277" s="38" t="str">
        <f t="shared" si="34"/>
        <v>Y</v>
      </c>
    </row>
    <row r="278" spans="2:9" x14ac:dyDescent="0.35">
      <c r="B278" s="37">
        <v>46298</v>
      </c>
      <c r="C278" s="12">
        <f t="shared" si="28"/>
        <v>2026</v>
      </c>
      <c r="D278" s="12">
        <f t="shared" si="29"/>
        <v>4</v>
      </c>
      <c r="E278" s="12">
        <f t="shared" si="30"/>
        <v>10</v>
      </c>
      <c r="F278" s="12" t="str">
        <f t="shared" si="31"/>
        <v>October</v>
      </c>
      <c r="G278" s="12">
        <f t="shared" si="32"/>
        <v>40</v>
      </c>
      <c r="H278" s="12" t="str">
        <f t="shared" si="33"/>
        <v>Saturday</v>
      </c>
      <c r="I278" s="39" t="str">
        <f t="shared" si="34"/>
        <v>Y</v>
      </c>
    </row>
    <row r="279" spans="2:9" x14ac:dyDescent="0.35">
      <c r="B279" s="36">
        <v>46299</v>
      </c>
      <c r="C279" s="11">
        <f t="shared" si="28"/>
        <v>2026</v>
      </c>
      <c r="D279" s="11">
        <f t="shared" si="29"/>
        <v>4</v>
      </c>
      <c r="E279" s="11">
        <f t="shared" si="30"/>
        <v>10</v>
      </c>
      <c r="F279" s="11" t="str">
        <f t="shared" si="31"/>
        <v>October</v>
      </c>
      <c r="G279" s="11">
        <f t="shared" si="32"/>
        <v>41</v>
      </c>
      <c r="H279" s="11" t="str">
        <f t="shared" si="33"/>
        <v>Sunday</v>
      </c>
      <c r="I279" s="38" t="str">
        <f t="shared" si="34"/>
        <v>N</v>
      </c>
    </row>
    <row r="280" spans="2:9" x14ac:dyDescent="0.35">
      <c r="B280" s="37">
        <v>46300</v>
      </c>
      <c r="C280" s="12">
        <f t="shared" si="28"/>
        <v>2026</v>
      </c>
      <c r="D280" s="12">
        <f t="shared" si="29"/>
        <v>4</v>
      </c>
      <c r="E280" s="12">
        <f t="shared" si="30"/>
        <v>10</v>
      </c>
      <c r="F280" s="12" t="str">
        <f t="shared" si="31"/>
        <v>October</v>
      </c>
      <c r="G280" s="12">
        <f t="shared" si="32"/>
        <v>41</v>
      </c>
      <c r="H280" s="12" t="str">
        <f t="shared" si="33"/>
        <v>Monday</v>
      </c>
      <c r="I280" s="39" t="str">
        <f t="shared" si="34"/>
        <v>N</v>
      </c>
    </row>
    <row r="281" spans="2:9" x14ac:dyDescent="0.35">
      <c r="B281" s="36">
        <v>46301</v>
      </c>
      <c r="C281" s="11">
        <f t="shared" si="28"/>
        <v>2026</v>
      </c>
      <c r="D281" s="11">
        <f t="shared" si="29"/>
        <v>4</v>
      </c>
      <c r="E281" s="11">
        <f t="shared" si="30"/>
        <v>10</v>
      </c>
      <c r="F281" s="11" t="str">
        <f t="shared" si="31"/>
        <v>October</v>
      </c>
      <c r="G281" s="11">
        <f t="shared" si="32"/>
        <v>41</v>
      </c>
      <c r="H281" s="11" t="str">
        <f t="shared" si="33"/>
        <v>Tuesday</v>
      </c>
      <c r="I281" s="38" t="str">
        <f t="shared" si="34"/>
        <v>N</v>
      </c>
    </row>
    <row r="282" spans="2:9" x14ac:dyDescent="0.35">
      <c r="B282" s="37">
        <v>46302</v>
      </c>
      <c r="C282" s="12">
        <f t="shared" si="28"/>
        <v>2026</v>
      </c>
      <c r="D282" s="12">
        <f t="shared" si="29"/>
        <v>4</v>
      </c>
      <c r="E282" s="12">
        <f t="shared" si="30"/>
        <v>10</v>
      </c>
      <c r="F282" s="12" t="str">
        <f t="shared" si="31"/>
        <v>October</v>
      </c>
      <c r="G282" s="12">
        <f t="shared" si="32"/>
        <v>41</v>
      </c>
      <c r="H282" s="12" t="str">
        <f t="shared" si="33"/>
        <v>Wednesday</v>
      </c>
      <c r="I282" s="39" t="str">
        <f t="shared" si="34"/>
        <v>N</v>
      </c>
    </row>
    <row r="283" spans="2:9" x14ac:dyDescent="0.35">
      <c r="B283" s="36">
        <v>46303</v>
      </c>
      <c r="C283" s="11">
        <f t="shared" si="28"/>
        <v>2026</v>
      </c>
      <c r="D283" s="11">
        <f t="shared" si="29"/>
        <v>4</v>
      </c>
      <c r="E283" s="11">
        <f t="shared" si="30"/>
        <v>10</v>
      </c>
      <c r="F283" s="11" t="str">
        <f t="shared" si="31"/>
        <v>October</v>
      </c>
      <c r="G283" s="11">
        <f t="shared" si="32"/>
        <v>41</v>
      </c>
      <c r="H283" s="11" t="str">
        <f t="shared" si="33"/>
        <v>Thursday</v>
      </c>
      <c r="I283" s="38" t="str">
        <f t="shared" si="34"/>
        <v>N</v>
      </c>
    </row>
    <row r="284" spans="2:9" x14ac:dyDescent="0.35">
      <c r="B284" s="37">
        <v>46304</v>
      </c>
      <c r="C284" s="12">
        <f t="shared" si="28"/>
        <v>2026</v>
      </c>
      <c r="D284" s="12">
        <f t="shared" si="29"/>
        <v>4</v>
      </c>
      <c r="E284" s="12">
        <f t="shared" si="30"/>
        <v>10</v>
      </c>
      <c r="F284" s="12" t="str">
        <f t="shared" si="31"/>
        <v>October</v>
      </c>
      <c r="G284" s="12">
        <f t="shared" si="32"/>
        <v>41</v>
      </c>
      <c r="H284" s="12" t="str">
        <f t="shared" si="33"/>
        <v>Friday</v>
      </c>
      <c r="I284" s="39" t="str">
        <f t="shared" si="34"/>
        <v>Y</v>
      </c>
    </row>
    <row r="285" spans="2:9" x14ac:dyDescent="0.35">
      <c r="B285" s="36">
        <v>46305</v>
      </c>
      <c r="C285" s="11">
        <f t="shared" si="28"/>
        <v>2026</v>
      </c>
      <c r="D285" s="11">
        <f t="shared" si="29"/>
        <v>4</v>
      </c>
      <c r="E285" s="11">
        <f t="shared" si="30"/>
        <v>10</v>
      </c>
      <c r="F285" s="11" t="str">
        <f t="shared" si="31"/>
        <v>October</v>
      </c>
      <c r="G285" s="11">
        <f t="shared" si="32"/>
        <v>41</v>
      </c>
      <c r="H285" s="11" t="str">
        <f t="shared" si="33"/>
        <v>Saturday</v>
      </c>
      <c r="I285" s="38" t="str">
        <f t="shared" si="34"/>
        <v>Y</v>
      </c>
    </row>
    <row r="286" spans="2:9" x14ac:dyDescent="0.35">
      <c r="B286" s="37">
        <v>46306</v>
      </c>
      <c r="C286" s="12">
        <f t="shared" si="28"/>
        <v>2026</v>
      </c>
      <c r="D286" s="12">
        <f t="shared" si="29"/>
        <v>4</v>
      </c>
      <c r="E286" s="12">
        <f t="shared" si="30"/>
        <v>10</v>
      </c>
      <c r="F286" s="12" t="str">
        <f t="shared" si="31"/>
        <v>October</v>
      </c>
      <c r="G286" s="12">
        <f t="shared" si="32"/>
        <v>42</v>
      </c>
      <c r="H286" s="12" t="str">
        <f t="shared" si="33"/>
        <v>Sunday</v>
      </c>
      <c r="I286" s="39" t="str">
        <f t="shared" si="34"/>
        <v>N</v>
      </c>
    </row>
    <row r="287" spans="2:9" x14ac:dyDescent="0.35">
      <c r="B287" s="36">
        <v>46307</v>
      </c>
      <c r="C287" s="11">
        <f t="shared" si="28"/>
        <v>2026</v>
      </c>
      <c r="D287" s="11">
        <f t="shared" si="29"/>
        <v>4</v>
      </c>
      <c r="E287" s="11">
        <f t="shared" si="30"/>
        <v>10</v>
      </c>
      <c r="F287" s="11" t="str">
        <f t="shared" si="31"/>
        <v>October</v>
      </c>
      <c r="G287" s="11">
        <f t="shared" si="32"/>
        <v>42</v>
      </c>
      <c r="H287" s="11" t="str">
        <f t="shared" si="33"/>
        <v>Monday</v>
      </c>
      <c r="I287" s="38" t="str">
        <f t="shared" si="34"/>
        <v>N</v>
      </c>
    </row>
    <row r="288" spans="2:9" x14ac:dyDescent="0.35">
      <c r="B288" s="37">
        <v>46308</v>
      </c>
      <c r="C288" s="12">
        <f t="shared" si="28"/>
        <v>2026</v>
      </c>
      <c r="D288" s="12">
        <f t="shared" si="29"/>
        <v>4</v>
      </c>
      <c r="E288" s="12">
        <f t="shared" si="30"/>
        <v>10</v>
      </c>
      <c r="F288" s="12" t="str">
        <f t="shared" si="31"/>
        <v>October</v>
      </c>
      <c r="G288" s="12">
        <f t="shared" si="32"/>
        <v>42</v>
      </c>
      <c r="H288" s="12" t="str">
        <f t="shared" si="33"/>
        <v>Tuesday</v>
      </c>
      <c r="I288" s="39" t="str">
        <f t="shared" si="34"/>
        <v>N</v>
      </c>
    </row>
    <row r="289" spans="2:9" x14ac:dyDescent="0.35">
      <c r="B289" s="36">
        <v>46309</v>
      </c>
      <c r="C289" s="11">
        <f t="shared" si="28"/>
        <v>2026</v>
      </c>
      <c r="D289" s="11">
        <f t="shared" si="29"/>
        <v>4</v>
      </c>
      <c r="E289" s="11">
        <f t="shared" si="30"/>
        <v>10</v>
      </c>
      <c r="F289" s="11" t="str">
        <f t="shared" si="31"/>
        <v>October</v>
      </c>
      <c r="G289" s="11">
        <f t="shared" si="32"/>
        <v>42</v>
      </c>
      <c r="H289" s="11" t="str">
        <f t="shared" si="33"/>
        <v>Wednesday</v>
      </c>
      <c r="I289" s="38" t="str">
        <f t="shared" si="34"/>
        <v>N</v>
      </c>
    </row>
    <row r="290" spans="2:9" x14ac:dyDescent="0.35">
      <c r="B290" s="37">
        <v>46310</v>
      </c>
      <c r="C290" s="12">
        <f t="shared" si="28"/>
        <v>2026</v>
      </c>
      <c r="D290" s="12">
        <f t="shared" si="29"/>
        <v>4</v>
      </c>
      <c r="E290" s="12">
        <f t="shared" si="30"/>
        <v>10</v>
      </c>
      <c r="F290" s="12" t="str">
        <f t="shared" si="31"/>
        <v>October</v>
      </c>
      <c r="G290" s="12">
        <f t="shared" si="32"/>
        <v>42</v>
      </c>
      <c r="H290" s="12" t="str">
        <f t="shared" si="33"/>
        <v>Thursday</v>
      </c>
      <c r="I290" s="39" t="str">
        <f t="shared" si="34"/>
        <v>N</v>
      </c>
    </row>
    <row r="291" spans="2:9" x14ac:dyDescent="0.35">
      <c r="B291" s="36">
        <v>46311</v>
      </c>
      <c r="C291" s="11">
        <f t="shared" si="28"/>
        <v>2026</v>
      </c>
      <c r="D291" s="11">
        <f t="shared" si="29"/>
        <v>4</v>
      </c>
      <c r="E291" s="11">
        <f t="shared" si="30"/>
        <v>10</v>
      </c>
      <c r="F291" s="11" t="str">
        <f t="shared" si="31"/>
        <v>October</v>
      </c>
      <c r="G291" s="11">
        <f t="shared" si="32"/>
        <v>42</v>
      </c>
      <c r="H291" s="11" t="str">
        <f t="shared" si="33"/>
        <v>Friday</v>
      </c>
      <c r="I291" s="38" t="str">
        <f t="shared" si="34"/>
        <v>Y</v>
      </c>
    </row>
    <row r="292" spans="2:9" x14ac:dyDescent="0.35">
      <c r="B292" s="37">
        <v>46312</v>
      </c>
      <c r="C292" s="12">
        <f t="shared" si="28"/>
        <v>2026</v>
      </c>
      <c r="D292" s="12">
        <f t="shared" si="29"/>
        <v>4</v>
      </c>
      <c r="E292" s="12">
        <f t="shared" si="30"/>
        <v>10</v>
      </c>
      <c r="F292" s="12" t="str">
        <f t="shared" si="31"/>
        <v>October</v>
      </c>
      <c r="G292" s="12">
        <f t="shared" si="32"/>
        <v>42</v>
      </c>
      <c r="H292" s="12" t="str">
        <f t="shared" si="33"/>
        <v>Saturday</v>
      </c>
      <c r="I292" s="39" t="str">
        <f t="shared" si="34"/>
        <v>Y</v>
      </c>
    </row>
    <row r="293" spans="2:9" x14ac:dyDescent="0.35">
      <c r="B293" s="36">
        <v>46313</v>
      </c>
      <c r="C293" s="11">
        <f t="shared" si="28"/>
        <v>2026</v>
      </c>
      <c r="D293" s="11">
        <f t="shared" si="29"/>
        <v>4</v>
      </c>
      <c r="E293" s="11">
        <f t="shared" si="30"/>
        <v>10</v>
      </c>
      <c r="F293" s="11" t="str">
        <f t="shared" si="31"/>
        <v>October</v>
      </c>
      <c r="G293" s="11">
        <f t="shared" si="32"/>
        <v>43</v>
      </c>
      <c r="H293" s="11" t="str">
        <f t="shared" si="33"/>
        <v>Sunday</v>
      </c>
      <c r="I293" s="38" t="str">
        <f t="shared" si="34"/>
        <v>N</v>
      </c>
    </row>
    <row r="294" spans="2:9" x14ac:dyDescent="0.35">
      <c r="B294" s="37">
        <v>46314</v>
      </c>
      <c r="C294" s="12">
        <f t="shared" si="28"/>
        <v>2026</v>
      </c>
      <c r="D294" s="12">
        <f t="shared" si="29"/>
        <v>4</v>
      </c>
      <c r="E294" s="12">
        <f t="shared" si="30"/>
        <v>10</v>
      </c>
      <c r="F294" s="12" t="str">
        <f t="shared" si="31"/>
        <v>October</v>
      </c>
      <c r="G294" s="12">
        <f t="shared" si="32"/>
        <v>43</v>
      </c>
      <c r="H294" s="12" t="str">
        <f t="shared" si="33"/>
        <v>Monday</v>
      </c>
      <c r="I294" s="39" t="str">
        <f t="shared" si="34"/>
        <v>N</v>
      </c>
    </row>
    <row r="295" spans="2:9" x14ac:dyDescent="0.35">
      <c r="B295" s="36">
        <v>46315</v>
      </c>
      <c r="C295" s="11">
        <f t="shared" si="28"/>
        <v>2026</v>
      </c>
      <c r="D295" s="11">
        <f t="shared" si="29"/>
        <v>4</v>
      </c>
      <c r="E295" s="11">
        <f t="shared" si="30"/>
        <v>10</v>
      </c>
      <c r="F295" s="11" t="str">
        <f t="shared" si="31"/>
        <v>October</v>
      </c>
      <c r="G295" s="11">
        <f t="shared" si="32"/>
        <v>43</v>
      </c>
      <c r="H295" s="11" t="str">
        <f t="shared" si="33"/>
        <v>Tuesday</v>
      </c>
      <c r="I295" s="38" t="str">
        <f t="shared" si="34"/>
        <v>N</v>
      </c>
    </row>
    <row r="296" spans="2:9" x14ac:dyDescent="0.35">
      <c r="B296" s="37">
        <v>46316</v>
      </c>
      <c r="C296" s="12">
        <f t="shared" si="28"/>
        <v>2026</v>
      </c>
      <c r="D296" s="12">
        <f t="shared" si="29"/>
        <v>4</v>
      </c>
      <c r="E296" s="12">
        <f t="shared" si="30"/>
        <v>10</v>
      </c>
      <c r="F296" s="12" t="str">
        <f t="shared" si="31"/>
        <v>October</v>
      </c>
      <c r="G296" s="12">
        <f t="shared" si="32"/>
        <v>43</v>
      </c>
      <c r="H296" s="12" t="str">
        <f t="shared" si="33"/>
        <v>Wednesday</v>
      </c>
      <c r="I296" s="39" t="str">
        <f t="shared" si="34"/>
        <v>N</v>
      </c>
    </row>
    <row r="297" spans="2:9" x14ac:dyDescent="0.35">
      <c r="B297" s="36">
        <v>46317</v>
      </c>
      <c r="C297" s="11">
        <f t="shared" si="28"/>
        <v>2026</v>
      </c>
      <c r="D297" s="11">
        <f t="shared" si="29"/>
        <v>4</v>
      </c>
      <c r="E297" s="11">
        <f t="shared" si="30"/>
        <v>10</v>
      </c>
      <c r="F297" s="11" t="str">
        <f t="shared" si="31"/>
        <v>October</v>
      </c>
      <c r="G297" s="11">
        <f t="shared" si="32"/>
        <v>43</v>
      </c>
      <c r="H297" s="11" t="str">
        <f t="shared" si="33"/>
        <v>Thursday</v>
      </c>
      <c r="I297" s="38" t="str">
        <f t="shared" si="34"/>
        <v>N</v>
      </c>
    </row>
    <row r="298" spans="2:9" x14ac:dyDescent="0.35">
      <c r="B298" s="37">
        <v>46318</v>
      </c>
      <c r="C298" s="12">
        <f t="shared" si="28"/>
        <v>2026</v>
      </c>
      <c r="D298" s="12">
        <f t="shared" si="29"/>
        <v>4</v>
      </c>
      <c r="E298" s="12">
        <f t="shared" si="30"/>
        <v>10</v>
      </c>
      <c r="F298" s="12" t="str">
        <f t="shared" si="31"/>
        <v>October</v>
      </c>
      <c r="G298" s="12">
        <f t="shared" si="32"/>
        <v>43</v>
      </c>
      <c r="H298" s="12" t="str">
        <f t="shared" si="33"/>
        <v>Friday</v>
      </c>
      <c r="I298" s="39" t="str">
        <f t="shared" si="34"/>
        <v>Y</v>
      </c>
    </row>
    <row r="299" spans="2:9" x14ac:dyDescent="0.35">
      <c r="B299" s="36">
        <v>46319</v>
      </c>
      <c r="C299" s="11">
        <f t="shared" si="28"/>
        <v>2026</v>
      </c>
      <c r="D299" s="11">
        <f t="shared" si="29"/>
        <v>4</v>
      </c>
      <c r="E299" s="11">
        <f t="shared" si="30"/>
        <v>10</v>
      </c>
      <c r="F299" s="11" t="str">
        <f t="shared" si="31"/>
        <v>October</v>
      </c>
      <c r="G299" s="11">
        <f t="shared" si="32"/>
        <v>43</v>
      </c>
      <c r="H299" s="11" t="str">
        <f t="shared" si="33"/>
        <v>Saturday</v>
      </c>
      <c r="I299" s="38" t="str">
        <f t="shared" si="34"/>
        <v>Y</v>
      </c>
    </row>
    <row r="300" spans="2:9" x14ac:dyDescent="0.35">
      <c r="B300" s="37">
        <v>46320</v>
      </c>
      <c r="C300" s="12">
        <f t="shared" si="28"/>
        <v>2026</v>
      </c>
      <c r="D300" s="12">
        <f t="shared" si="29"/>
        <v>4</v>
      </c>
      <c r="E300" s="12">
        <f t="shared" si="30"/>
        <v>10</v>
      </c>
      <c r="F300" s="12" t="str">
        <f t="shared" si="31"/>
        <v>October</v>
      </c>
      <c r="G300" s="12">
        <f t="shared" si="32"/>
        <v>44</v>
      </c>
      <c r="H300" s="12" t="str">
        <f t="shared" si="33"/>
        <v>Sunday</v>
      </c>
      <c r="I300" s="39" t="str">
        <f t="shared" si="34"/>
        <v>N</v>
      </c>
    </row>
    <row r="301" spans="2:9" x14ac:dyDescent="0.35">
      <c r="B301" s="36">
        <v>46321</v>
      </c>
      <c r="C301" s="11">
        <f t="shared" si="28"/>
        <v>2026</v>
      </c>
      <c r="D301" s="11">
        <f t="shared" si="29"/>
        <v>4</v>
      </c>
      <c r="E301" s="11">
        <f t="shared" si="30"/>
        <v>10</v>
      </c>
      <c r="F301" s="11" t="str">
        <f t="shared" si="31"/>
        <v>October</v>
      </c>
      <c r="G301" s="11">
        <f t="shared" si="32"/>
        <v>44</v>
      </c>
      <c r="H301" s="11" t="str">
        <f t="shared" si="33"/>
        <v>Monday</v>
      </c>
      <c r="I301" s="38" t="str">
        <f t="shared" si="34"/>
        <v>N</v>
      </c>
    </row>
    <row r="302" spans="2:9" x14ac:dyDescent="0.35">
      <c r="B302" s="37">
        <v>46322</v>
      </c>
      <c r="C302" s="12">
        <f t="shared" si="28"/>
        <v>2026</v>
      </c>
      <c r="D302" s="12">
        <f t="shared" si="29"/>
        <v>4</v>
      </c>
      <c r="E302" s="12">
        <f t="shared" si="30"/>
        <v>10</v>
      </c>
      <c r="F302" s="12" t="str">
        <f t="shared" si="31"/>
        <v>October</v>
      </c>
      <c r="G302" s="12">
        <f t="shared" si="32"/>
        <v>44</v>
      </c>
      <c r="H302" s="12" t="str">
        <f t="shared" si="33"/>
        <v>Tuesday</v>
      </c>
      <c r="I302" s="39" t="str">
        <f t="shared" si="34"/>
        <v>N</v>
      </c>
    </row>
    <row r="303" spans="2:9" x14ac:dyDescent="0.35">
      <c r="B303" s="36">
        <v>46323</v>
      </c>
      <c r="C303" s="11">
        <f t="shared" si="28"/>
        <v>2026</v>
      </c>
      <c r="D303" s="11">
        <f t="shared" si="29"/>
        <v>4</v>
      </c>
      <c r="E303" s="11">
        <f t="shared" si="30"/>
        <v>10</v>
      </c>
      <c r="F303" s="11" t="str">
        <f t="shared" si="31"/>
        <v>October</v>
      </c>
      <c r="G303" s="11">
        <f t="shared" si="32"/>
        <v>44</v>
      </c>
      <c r="H303" s="11" t="str">
        <f t="shared" si="33"/>
        <v>Wednesday</v>
      </c>
      <c r="I303" s="38" t="str">
        <f t="shared" si="34"/>
        <v>N</v>
      </c>
    </row>
    <row r="304" spans="2:9" x14ac:dyDescent="0.35">
      <c r="B304" s="37">
        <v>46324</v>
      </c>
      <c r="C304" s="12">
        <f t="shared" si="28"/>
        <v>2026</v>
      </c>
      <c r="D304" s="12">
        <f t="shared" si="29"/>
        <v>4</v>
      </c>
      <c r="E304" s="12">
        <f t="shared" si="30"/>
        <v>10</v>
      </c>
      <c r="F304" s="12" t="str">
        <f t="shared" si="31"/>
        <v>October</v>
      </c>
      <c r="G304" s="12">
        <f t="shared" si="32"/>
        <v>44</v>
      </c>
      <c r="H304" s="12" t="str">
        <f t="shared" si="33"/>
        <v>Thursday</v>
      </c>
      <c r="I304" s="39" t="str">
        <f t="shared" si="34"/>
        <v>N</v>
      </c>
    </row>
    <row r="305" spans="2:9" x14ac:dyDescent="0.35">
      <c r="B305" s="36">
        <v>46325</v>
      </c>
      <c r="C305" s="11">
        <f t="shared" si="28"/>
        <v>2026</v>
      </c>
      <c r="D305" s="11">
        <f t="shared" si="29"/>
        <v>4</v>
      </c>
      <c r="E305" s="11">
        <f t="shared" si="30"/>
        <v>10</v>
      </c>
      <c r="F305" s="11" t="str">
        <f t="shared" si="31"/>
        <v>October</v>
      </c>
      <c r="G305" s="11">
        <f t="shared" si="32"/>
        <v>44</v>
      </c>
      <c r="H305" s="11" t="str">
        <f t="shared" si="33"/>
        <v>Friday</v>
      </c>
      <c r="I305" s="38" t="str">
        <f t="shared" si="34"/>
        <v>Y</v>
      </c>
    </row>
    <row r="306" spans="2:9" x14ac:dyDescent="0.35">
      <c r="B306" s="37">
        <v>46326</v>
      </c>
      <c r="C306" s="12">
        <f t="shared" si="28"/>
        <v>2026</v>
      </c>
      <c r="D306" s="12">
        <f t="shared" si="29"/>
        <v>4</v>
      </c>
      <c r="E306" s="12">
        <f t="shared" si="30"/>
        <v>10</v>
      </c>
      <c r="F306" s="12" t="str">
        <f t="shared" si="31"/>
        <v>October</v>
      </c>
      <c r="G306" s="12">
        <f t="shared" si="32"/>
        <v>44</v>
      </c>
      <c r="H306" s="12" t="str">
        <f t="shared" si="33"/>
        <v>Saturday</v>
      </c>
      <c r="I306" s="39" t="str">
        <f t="shared" si="34"/>
        <v>Y</v>
      </c>
    </row>
    <row r="307" spans="2:9" x14ac:dyDescent="0.35">
      <c r="B307" s="36">
        <v>46327</v>
      </c>
      <c r="C307" s="11">
        <f t="shared" si="28"/>
        <v>2026</v>
      </c>
      <c r="D307" s="11">
        <f t="shared" si="29"/>
        <v>4</v>
      </c>
      <c r="E307" s="11">
        <f t="shared" si="30"/>
        <v>11</v>
      </c>
      <c r="F307" s="11" t="str">
        <f t="shared" si="31"/>
        <v>November</v>
      </c>
      <c r="G307" s="11">
        <f t="shared" si="32"/>
        <v>45</v>
      </c>
      <c r="H307" s="11" t="str">
        <f t="shared" si="33"/>
        <v>Sunday</v>
      </c>
      <c r="I307" s="38" t="str">
        <f t="shared" si="34"/>
        <v>N</v>
      </c>
    </row>
    <row r="308" spans="2:9" x14ac:dyDescent="0.35">
      <c r="B308" s="37">
        <v>46328</v>
      </c>
      <c r="C308" s="12">
        <f t="shared" si="28"/>
        <v>2026</v>
      </c>
      <c r="D308" s="12">
        <f t="shared" si="29"/>
        <v>4</v>
      </c>
      <c r="E308" s="12">
        <f t="shared" si="30"/>
        <v>11</v>
      </c>
      <c r="F308" s="12" t="str">
        <f t="shared" si="31"/>
        <v>November</v>
      </c>
      <c r="G308" s="12">
        <f t="shared" si="32"/>
        <v>45</v>
      </c>
      <c r="H308" s="12" t="str">
        <f t="shared" si="33"/>
        <v>Monday</v>
      </c>
      <c r="I308" s="39" t="str">
        <f t="shared" si="34"/>
        <v>N</v>
      </c>
    </row>
    <row r="309" spans="2:9" x14ac:dyDescent="0.35">
      <c r="B309" s="36">
        <v>46329</v>
      </c>
      <c r="C309" s="11">
        <f t="shared" si="28"/>
        <v>2026</v>
      </c>
      <c r="D309" s="11">
        <f t="shared" si="29"/>
        <v>4</v>
      </c>
      <c r="E309" s="11">
        <f t="shared" si="30"/>
        <v>11</v>
      </c>
      <c r="F309" s="11" t="str">
        <f t="shared" si="31"/>
        <v>November</v>
      </c>
      <c r="G309" s="11">
        <f t="shared" si="32"/>
        <v>45</v>
      </c>
      <c r="H309" s="11" t="str">
        <f t="shared" si="33"/>
        <v>Tuesday</v>
      </c>
      <c r="I309" s="38" t="str">
        <f t="shared" si="34"/>
        <v>N</v>
      </c>
    </row>
    <row r="310" spans="2:9" x14ac:dyDescent="0.35">
      <c r="B310" s="37">
        <v>46330</v>
      </c>
      <c r="C310" s="12">
        <f t="shared" si="28"/>
        <v>2026</v>
      </c>
      <c r="D310" s="12">
        <f t="shared" si="29"/>
        <v>4</v>
      </c>
      <c r="E310" s="12">
        <f t="shared" si="30"/>
        <v>11</v>
      </c>
      <c r="F310" s="12" t="str">
        <f t="shared" si="31"/>
        <v>November</v>
      </c>
      <c r="G310" s="12">
        <f t="shared" si="32"/>
        <v>45</v>
      </c>
      <c r="H310" s="12" t="str">
        <f t="shared" si="33"/>
        <v>Wednesday</v>
      </c>
      <c r="I310" s="39" t="str">
        <f t="shared" si="34"/>
        <v>N</v>
      </c>
    </row>
    <row r="311" spans="2:9" x14ac:dyDescent="0.35">
      <c r="B311" s="36">
        <v>46331</v>
      </c>
      <c r="C311" s="11">
        <f t="shared" si="28"/>
        <v>2026</v>
      </c>
      <c r="D311" s="11">
        <f t="shared" si="29"/>
        <v>4</v>
      </c>
      <c r="E311" s="11">
        <f t="shared" si="30"/>
        <v>11</v>
      </c>
      <c r="F311" s="11" t="str">
        <f t="shared" si="31"/>
        <v>November</v>
      </c>
      <c r="G311" s="11">
        <f t="shared" si="32"/>
        <v>45</v>
      </c>
      <c r="H311" s="11" t="str">
        <f t="shared" si="33"/>
        <v>Thursday</v>
      </c>
      <c r="I311" s="38" t="str">
        <f t="shared" si="34"/>
        <v>N</v>
      </c>
    </row>
    <row r="312" spans="2:9" x14ac:dyDescent="0.35">
      <c r="B312" s="37">
        <v>46332</v>
      </c>
      <c r="C312" s="12">
        <f t="shared" si="28"/>
        <v>2026</v>
      </c>
      <c r="D312" s="12">
        <f t="shared" si="29"/>
        <v>4</v>
      </c>
      <c r="E312" s="12">
        <f t="shared" si="30"/>
        <v>11</v>
      </c>
      <c r="F312" s="12" t="str">
        <f t="shared" si="31"/>
        <v>November</v>
      </c>
      <c r="G312" s="12">
        <f t="shared" si="32"/>
        <v>45</v>
      </c>
      <c r="H312" s="12" t="str">
        <f t="shared" si="33"/>
        <v>Friday</v>
      </c>
      <c r="I312" s="39" t="str">
        <f t="shared" si="34"/>
        <v>Y</v>
      </c>
    </row>
    <row r="313" spans="2:9" x14ac:dyDescent="0.35">
      <c r="B313" s="36">
        <v>46333</v>
      </c>
      <c r="C313" s="11">
        <f t="shared" si="28"/>
        <v>2026</v>
      </c>
      <c r="D313" s="11">
        <f t="shared" si="29"/>
        <v>4</v>
      </c>
      <c r="E313" s="11">
        <f t="shared" si="30"/>
        <v>11</v>
      </c>
      <c r="F313" s="11" t="str">
        <f t="shared" si="31"/>
        <v>November</v>
      </c>
      <c r="G313" s="11">
        <f t="shared" si="32"/>
        <v>45</v>
      </c>
      <c r="H313" s="11" t="str">
        <f t="shared" si="33"/>
        <v>Saturday</v>
      </c>
      <c r="I313" s="38" t="str">
        <f t="shared" si="34"/>
        <v>Y</v>
      </c>
    </row>
    <row r="314" spans="2:9" x14ac:dyDescent="0.35">
      <c r="B314" s="37">
        <v>46334</v>
      </c>
      <c r="C314" s="12">
        <f t="shared" si="28"/>
        <v>2026</v>
      </c>
      <c r="D314" s="12">
        <f t="shared" si="29"/>
        <v>4</v>
      </c>
      <c r="E314" s="12">
        <f t="shared" si="30"/>
        <v>11</v>
      </c>
      <c r="F314" s="12" t="str">
        <f t="shared" si="31"/>
        <v>November</v>
      </c>
      <c r="G314" s="12">
        <f t="shared" si="32"/>
        <v>46</v>
      </c>
      <c r="H314" s="12" t="str">
        <f t="shared" si="33"/>
        <v>Sunday</v>
      </c>
      <c r="I314" s="39" t="str">
        <f t="shared" si="34"/>
        <v>N</v>
      </c>
    </row>
    <row r="315" spans="2:9" x14ac:dyDescent="0.35">
      <c r="B315" s="36">
        <v>46335</v>
      </c>
      <c r="C315" s="11">
        <f t="shared" si="28"/>
        <v>2026</v>
      </c>
      <c r="D315" s="11">
        <f t="shared" si="29"/>
        <v>4</v>
      </c>
      <c r="E315" s="11">
        <f t="shared" si="30"/>
        <v>11</v>
      </c>
      <c r="F315" s="11" t="str">
        <f t="shared" si="31"/>
        <v>November</v>
      </c>
      <c r="G315" s="11">
        <f t="shared" si="32"/>
        <v>46</v>
      </c>
      <c r="H315" s="11" t="str">
        <f t="shared" si="33"/>
        <v>Monday</v>
      </c>
      <c r="I315" s="38" t="str">
        <f t="shared" si="34"/>
        <v>N</v>
      </c>
    </row>
    <row r="316" spans="2:9" x14ac:dyDescent="0.35">
      <c r="B316" s="37">
        <v>46336</v>
      </c>
      <c r="C316" s="12">
        <f t="shared" si="28"/>
        <v>2026</v>
      </c>
      <c r="D316" s="12">
        <f t="shared" si="29"/>
        <v>4</v>
      </c>
      <c r="E316" s="12">
        <f t="shared" si="30"/>
        <v>11</v>
      </c>
      <c r="F316" s="12" t="str">
        <f t="shared" si="31"/>
        <v>November</v>
      </c>
      <c r="G316" s="12">
        <f t="shared" si="32"/>
        <v>46</v>
      </c>
      <c r="H316" s="12" t="str">
        <f t="shared" si="33"/>
        <v>Tuesday</v>
      </c>
      <c r="I316" s="39" t="str">
        <f t="shared" si="34"/>
        <v>N</v>
      </c>
    </row>
    <row r="317" spans="2:9" x14ac:dyDescent="0.35">
      <c r="B317" s="36">
        <v>46337</v>
      </c>
      <c r="C317" s="11">
        <f t="shared" si="28"/>
        <v>2026</v>
      </c>
      <c r="D317" s="11">
        <f t="shared" si="29"/>
        <v>4</v>
      </c>
      <c r="E317" s="11">
        <f t="shared" si="30"/>
        <v>11</v>
      </c>
      <c r="F317" s="11" t="str">
        <f t="shared" si="31"/>
        <v>November</v>
      </c>
      <c r="G317" s="11">
        <f t="shared" si="32"/>
        <v>46</v>
      </c>
      <c r="H317" s="11" t="str">
        <f t="shared" si="33"/>
        <v>Wednesday</v>
      </c>
      <c r="I317" s="38" t="str">
        <f t="shared" si="34"/>
        <v>N</v>
      </c>
    </row>
    <row r="318" spans="2:9" x14ac:dyDescent="0.35">
      <c r="B318" s="37">
        <v>46338</v>
      </c>
      <c r="C318" s="12">
        <f t="shared" si="28"/>
        <v>2026</v>
      </c>
      <c r="D318" s="12">
        <f t="shared" si="29"/>
        <v>4</v>
      </c>
      <c r="E318" s="12">
        <f t="shared" si="30"/>
        <v>11</v>
      </c>
      <c r="F318" s="12" t="str">
        <f t="shared" si="31"/>
        <v>November</v>
      </c>
      <c r="G318" s="12">
        <f t="shared" si="32"/>
        <v>46</v>
      </c>
      <c r="H318" s="12" t="str">
        <f t="shared" si="33"/>
        <v>Thursday</v>
      </c>
      <c r="I318" s="39" t="str">
        <f t="shared" si="34"/>
        <v>N</v>
      </c>
    </row>
    <row r="319" spans="2:9" x14ac:dyDescent="0.35">
      <c r="B319" s="36">
        <v>46339</v>
      </c>
      <c r="C319" s="11">
        <f t="shared" si="28"/>
        <v>2026</v>
      </c>
      <c r="D319" s="11">
        <f t="shared" si="29"/>
        <v>4</v>
      </c>
      <c r="E319" s="11">
        <f t="shared" si="30"/>
        <v>11</v>
      </c>
      <c r="F319" s="11" t="str">
        <f t="shared" si="31"/>
        <v>November</v>
      </c>
      <c r="G319" s="11">
        <f t="shared" si="32"/>
        <v>46</v>
      </c>
      <c r="H319" s="11" t="str">
        <f t="shared" si="33"/>
        <v>Friday</v>
      </c>
      <c r="I319" s="38" t="str">
        <f t="shared" si="34"/>
        <v>Y</v>
      </c>
    </row>
    <row r="320" spans="2:9" x14ac:dyDescent="0.35">
      <c r="B320" s="37">
        <v>46340</v>
      </c>
      <c r="C320" s="12">
        <f t="shared" si="28"/>
        <v>2026</v>
      </c>
      <c r="D320" s="12">
        <f t="shared" si="29"/>
        <v>4</v>
      </c>
      <c r="E320" s="12">
        <f t="shared" si="30"/>
        <v>11</v>
      </c>
      <c r="F320" s="12" t="str">
        <f t="shared" si="31"/>
        <v>November</v>
      </c>
      <c r="G320" s="12">
        <f t="shared" si="32"/>
        <v>46</v>
      </c>
      <c r="H320" s="12" t="str">
        <f t="shared" si="33"/>
        <v>Saturday</v>
      </c>
      <c r="I320" s="39" t="str">
        <f t="shared" si="34"/>
        <v>Y</v>
      </c>
    </row>
    <row r="321" spans="2:9" x14ac:dyDescent="0.35">
      <c r="B321" s="36">
        <v>46341</v>
      </c>
      <c r="C321" s="11">
        <f t="shared" si="28"/>
        <v>2026</v>
      </c>
      <c r="D321" s="11">
        <f t="shared" si="29"/>
        <v>4</v>
      </c>
      <c r="E321" s="11">
        <f t="shared" si="30"/>
        <v>11</v>
      </c>
      <c r="F321" s="11" t="str">
        <f t="shared" si="31"/>
        <v>November</v>
      </c>
      <c r="G321" s="11">
        <f t="shared" si="32"/>
        <v>47</v>
      </c>
      <c r="H321" s="11" t="str">
        <f t="shared" si="33"/>
        <v>Sunday</v>
      </c>
      <c r="I321" s="38" t="str">
        <f t="shared" si="34"/>
        <v>N</v>
      </c>
    </row>
    <row r="322" spans="2:9" x14ac:dyDescent="0.35">
      <c r="B322" s="37">
        <v>46342</v>
      </c>
      <c r="C322" s="12">
        <f t="shared" si="28"/>
        <v>2026</v>
      </c>
      <c r="D322" s="12">
        <f t="shared" si="29"/>
        <v>4</v>
      </c>
      <c r="E322" s="12">
        <f t="shared" si="30"/>
        <v>11</v>
      </c>
      <c r="F322" s="12" t="str">
        <f t="shared" si="31"/>
        <v>November</v>
      </c>
      <c r="G322" s="12">
        <f t="shared" si="32"/>
        <v>47</v>
      </c>
      <c r="H322" s="12" t="str">
        <f t="shared" si="33"/>
        <v>Monday</v>
      </c>
      <c r="I322" s="39" t="str">
        <f t="shared" si="34"/>
        <v>N</v>
      </c>
    </row>
    <row r="323" spans="2:9" x14ac:dyDescent="0.35">
      <c r="B323" s="36">
        <v>46343</v>
      </c>
      <c r="C323" s="11">
        <f t="shared" ref="C323:C367" si="35">YEAR(B323)</f>
        <v>2026</v>
      </c>
      <c r="D323" s="11">
        <f t="shared" ref="D323:D367" si="36">ROUNDUP(MONTH(B323)/3,0)</f>
        <v>4</v>
      </c>
      <c r="E323" s="11">
        <f t="shared" ref="E323:E367" si="37">MONTH(B323)</f>
        <v>11</v>
      </c>
      <c r="F323" s="11" t="str">
        <f t="shared" ref="F323:F367" si="38">TEXT(B323,"mmmm")</f>
        <v>November</v>
      </c>
      <c r="G323" s="11">
        <f t="shared" ref="G323:G367" si="39">WEEKNUM(B323,1)</f>
        <v>47</v>
      </c>
      <c r="H323" s="11" t="str">
        <f t="shared" ref="H323:H367" si="40">TEXT(B323,"dddd")</f>
        <v>Tuesday</v>
      </c>
      <c r="I323" s="38" t="str">
        <f t="shared" ref="I323:I367" si="41">IF(OR(WEEKDAY(B323)=6,WEEKDAY(B323)=7),"Y","N")</f>
        <v>N</v>
      </c>
    </row>
    <row r="324" spans="2:9" x14ac:dyDescent="0.35">
      <c r="B324" s="37">
        <v>46344</v>
      </c>
      <c r="C324" s="12">
        <f t="shared" si="35"/>
        <v>2026</v>
      </c>
      <c r="D324" s="12">
        <f t="shared" si="36"/>
        <v>4</v>
      </c>
      <c r="E324" s="12">
        <f t="shared" si="37"/>
        <v>11</v>
      </c>
      <c r="F324" s="12" t="str">
        <f t="shared" si="38"/>
        <v>November</v>
      </c>
      <c r="G324" s="12">
        <f t="shared" si="39"/>
        <v>47</v>
      </c>
      <c r="H324" s="12" t="str">
        <f t="shared" si="40"/>
        <v>Wednesday</v>
      </c>
      <c r="I324" s="39" t="str">
        <f t="shared" si="41"/>
        <v>N</v>
      </c>
    </row>
    <row r="325" spans="2:9" x14ac:dyDescent="0.35">
      <c r="B325" s="36">
        <v>46345</v>
      </c>
      <c r="C325" s="11">
        <f t="shared" si="35"/>
        <v>2026</v>
      </c>
      <c r="D325" s="11">
        <f t="shared" si="36"/>
        <v>4</v>
      </c>
      <c r="E325" s="11">
        <f t="shared" si="37"/>
        <v>11</v>
      </c>
      <c r="F325" s="11" t="str">
        <f t="shared" si="38"/>
        <v>November</v>
      </c>
      <c r="G325" s="11">
        <f t="shared" si="39"/>
        <v>47</v>
      </c>
      <c r="H325" s="11" t="str">
        <f t="shared" si="40"/>
        <v>Thursday</v>
      </c>
      <c r="I325" s="38" t="str">
        <f t="shared" si="41"/>
        <v>N</v>
      </c>
    </row>
    <row r="326" spans="2:9" x14ac:dyDescent="0.35">
      <c r="B326" s="37">
        <v>46346</v>
      </c>
      <c r="C326" s="12">
        <f t="shared" si="35"/>
        <v>2026</v>
      </c>
      <c r="D326" s="12">
        <f t="shared" si="36"/>
        <v>4</v>
      </c>
      <c r="E326" s="12">
        <f t="shared" si="37"/>
        <v>11</v>
      </c>
      <c r="F326" s="12" t="str">
        <f t="shared" si="38"/>
        <v>November</v>
      </c>
      <c r="G326" s="12">
        <f t="shared" si="39"/>
        <v>47</v>
      </c>
      <c r="H326" s="12" t="str">
        <f t="shared" si="40"/>
        <v>Friday</v>
      </c>
      <c r="I326" s="39" t="str">
        <f t="shared" si="41"/>
        <v>Y</v>
      </c>
    </row>
    <row r="327" spans="2:9" x14ac:dyDescent="0.35">
      <c r="B327" s="36">
        <v>46347</v>
      </c>
      <c r="C327" s="11">
        <f t="shared" si="35"/>
        <v>2026</v>
      </c>
      <c r="D327" s="11">
        <f t="shared" si="36"/>
        <v>4</v>
      </c>
      <c r="E327" s="11">
        <f t="shared" si="37"/>
        <v>11</v>
      </c>
      <c r="F327" s="11" t="str">
        <f t="shared" si="38"/>
        <v>November</v>
      </c>
      <c r="G327" s="11">
        <f t="shared" si="39"/>
        <v>47</v>
      </c>
      <c r="H327" s="11" t="str">
        <f t="shared" si="40"/>
        <v>Saturday</v>
      </c>
      <c r="I327" s="38" t="str">
        <f t="shared" si="41"/>
        <v>Y</v>
      </c>
    </row>
    <row r="328" spans="2:9" x14ac:dyDescent="0.35">
      <c r="B328" s="37">
        <v>46348</v>
      </c>
      <c r="C328" s="12">
        <f t="shared" si="35"/>
        <v>2026</v>
      </c>
      <c r="D328" s="12">
        <f t="shared" si="36"/>
        <v>4</v>
      </c>
      <c r="E328" s="12">
        <f t="shared" si="37"/>
        <v>11</v>
      </c>
      <c r="F328" s="12" t="str">
        <f t="shared" si="38"/>
        <v>November</v>
      </c>
      <c r="G328" s="12">
        <f t="shared" si="39"/>
        <v>48</v>
      </c>
      <c r="H328" s="12" t="str">
        <f t="shared" si="40"/>
        <v>Sunday</v>
      </c>
      <c r="I328" s="39" t="str">
        <f t="shared" si="41"/>
        <v>N</v>
      </c>
    </row>
    <row r="329" spans="2:9" x14ac:dyDescent="0.35">
      <c r="B329" s="36">
        <v>46349</v>
      </c>
      <c r="C329" s="11">
        <f t="shared" si="35"/>
        <v>2026</v>
      </c>
      <c r="D329" s="11">
        <f t="shared" si="36"/>
        <v>4</v>
      </c>
      <c r="E329" s="11">
        <f t="shared" si="37"/>
        <v>11</v>
      </c>
      <c r="F329" s="11" t="str">
        <f t="shared" si="38"/>
        <v>November</v>
      </c>
      <c r="G329" s="11">
        <f t="shared" si="39"/>
        <v>48</v>
      </c>
      <c r="H329" s="11" t="str">
        <f t="shared" si="40"/>
        <v>Monday</v>
      </c>
      <c r="I329" s="38" t="str">
        <f t="shared" si="41"/>
        <v>N</v>
      </c>
    </row>
    <row r="330" spans="2:9" x14ac:dyDescent="0.35">
      <c r="B330" s="37">
        <v>46350</v>
      </c>
      <c r="C330" s="12">
        <f t="shared" si="35"/>
        <v>2026</v>
      </c>
      <c r="D330" s="12">
        <f t="shared" si="36"/>
        <v>4</v>
      </c>
      <c r="E330" s="12">
        <f t="shared" si="37"/>
        <v>11</v>
      </c>
      <c r="F330" s="12" t="str">
        <f t="shared" si="38"/>
        <v>November</v>
      </c>
      <c r="G330" s="12">
        <f t="shared" si="39"/>
        <v>48</v>
      </c>
      <c r="H330" s="12" t="str">
        <f t="shared" si="40"/>
        <v>Tuesday</v>
      </c>
      <c r="I330" s="39" t="str">
        <f t="shared" si="41"/>
        <v>N</v>
      </c>
    </row>
    <row r="331" spans="2:9" x14ac:dyDescent="0.35">
      <c r="B331" s="36">
        <v>46351</v>
      </c>
      <c r="C331" s="11">
        <f t="shared" si="35"/>
        <v>2026</v>
      </c>
      <c r="D331" s="11">
        <f t="shared" si="36"/>
        <v>4</v>
      </c>
      <c r="E331" s="11">
        <f t="shared" si="37"/>
        <v>11</v>
      </c>
      <c r="F331" s="11" t="str">
        <f t="shared" si="38"/>
        <v>November</v>
      </c>
      <c r="G331" s="11">
        <f t="shared" si="39"/>
        <v>48</v>
      </c>
      <c r="H331" s="11" t="str">
        <f t="shared" si="40"/>
        <v>Wednesday</v>
      </c>
      <c r="I331" s="38" t="str">
        <f t="shared" si="41"/>
        <v>N</v>
      </c>
    </row>
    <row r="332" spans="2:9" x14ac:dyDescent="0.35">
      <c r="B332" s="37">
        <v>46352</v>
      </c>
      <c r="C332" s="12">
        <f t="shared" si="35"/>
        <v>2026</v>
      </c>
      <c r="D332" s="12">
        <f t="shared" si="36"/>
        <v>4</v>
      </c>
      <c r="E332" s="12">
        <f t="shared" si="37"/>
        <v>11</v>
      </c>
      <c r="F332" s="12" t="str">
        <f t="shared" si="38"/>
        <v>November</v>
      </c>
      <c r="G332" s="12">
        <f t="shared" si="39"/>
        <v>48</v>
      </c>
      <c r="H332" s="12" t="str">
        <f t="shared" si="40"/>
        <v>Thursday</v>
      </c>
      <c r="I332" s="39" t="str">
        <f t="shared" si="41"/>
        <v>N</v>
      </c>
    </row>
    <row r="333" spans="2:9" x14ac:dyDescent="0.35">
      <c r="B333" s="36">
        <v>46353</v>
      </c>
      <c r="C333" s="11">
        <f t="shared" si="35"/>
        <v>2026</v>
      </c>
      <c r="D333" s="11">
        <f t="shared" si="36"/>
        <v>4</v>
      </c>
      <c r="E333" s="11">
        <f t="shared" si="37"/>
        <v>11</v>
      </c>
      <c r="F333" s="11" t="str">
        <f t="shared" si="38"/>
        <v>November</v>
      </c>
      <c r="G333" s="11">
        <f t="shared" si="39"/>
        <v>48</v>
      </c>
      <c r="H333" s="11" t="str">
        <f t="shared" si="40"/>
        <v>Friday</v>
      </c>
      <c r="I333" s="38" t="str">
        <f t="shared" si="41"/>
        <v>Y</v>
      </c>
    </row>
    <row r="334" spans="2:9" x14ac:dyDescent="0.35">
      <c r="B334" s="37">
        <v>46354</v>
      </c>
      <c r="C334" s="12">
        <f t="shared" si="35"/>
        <v>2026</v>
      </c>
      <c r="D334" s="12">
        <f t="shared" si="36"/>
        <v>4</v>
      </c>
      <c r="E334" s="12">
        <f t="shared" si="37"/>
        <v>11</v>
      </c>
      <c r="F334" s="12" t="str">
        <f t="shared" si="38"/>
        <v>November</v>
      </c>
      <c r="G334" s="12">
        <f t="shared" si="39"/>
        <v>48</v>
      </c>
      <c r="H334" s="12" t="str">
        <f t="shared" si="40"/>
        <v>Saturday</v>
      </c>
      <c r="I334" s="39" t="str">
        <f t="shared" si="41"/>
        <v>Y</v>
      </c>
    </row>
    <row r="335" spans="2:9" x14ac:dyDescent="0.35">
      <c r="B335" s="36">
        <v>46355</v>
      </c>
      <c r="C335" s="11">
        <f t="shared" si="35"/>
        <v>2026</v>
      </c>
      <c r="D335" s="11">
        <f t="shared" si="36"/>
        <v>4</v>
      </c>
      <c r="E335" s="11">
        <f t="shared" si="37"/>
        <v>11</v>
      </c>
      <c r="F335" s="11" t="str">
        <f t="shared" si="38"/>
        <v>November</v>
      </c>
      <c r="G335" s="11">
        <f t="shared" si="39"/>
        <v>49</v>
      </c>
      <c r="H335" s="11" t="str">
        <f t="shared" si="40"/>
        <v>Sunday</v>
      </c>
      <c r="I335" s="38" t="str">
        <f t="shared" si="41"/>
        <v>N</v>
      </c>
    </row>
    <row r="336" spans="2:9" x14ac:dyDescent="0.35">
      <c r="B336" s="37">
        <v>46356</v>
      </c>
      <c r="C336" s="12">
        <f t="shared" si="35"/>
        <v>2026</v>
      </c>
      <c r="D336" s="12">
        <f t="shared" si="36"/>
        <v>4</v>
      </c>
      <c r="E336" s="12">
        <f t="shared" si="37"/>
        <v>11</v>
      </c>
      <c r="F336" s="12" t="str">
        <f t="shared" si="38"/>
        <v>November</v>
      </c>
      <c r="G336" s="12">
        <f t="shared" si="39"/>
        <v>49</v>
      </c>
      <c r="H336" s="12" t="str">
        <f t="shared" si="40"/>
        <v>Monday</v>
      </c>
      <c r="I336" s="39" t="str">
        <f t="shared" si="41"/>
        <v>N</v>
      </c>
    </row>
    <row r="337" spans="2:9" x14ac:dyDescent="0.35">
      <c r="B337" s="36">
        <v>46357</v>
      </c>
      <c r="C337" s="11">
        <f t="shared" si="35"/>
        <v>2026</v>
      </c>
      <c r="D337" s="11">
        <f t="shared" si="36"/>
        <v>4</v>
      </c>
      <c r="E337" s="11">
        <f t="shared" si="37"/>
        <v>12</v>
      </c>
      <c r="F337" s="11" t="str">
        <f t="shared" si="38"/>
        <v>December</v>
      </c>
      <c r="G337" s="11">
        <f t="shared" si="39"/>
        <v>49</v>
      </c>
      <c r="H337" s="11" t="str">
        <f t="shared" si="40"/>
        <v>Tuesday</v>
      </c>
      <c r="I337" s="38" t="str">
        <f t="shared" si="41"/>
        <v>N</v>
      </c>
    </row>
    <row r="338" spans="2:9" x14ac:dyDescent="0.35">
      <c r="B338" s="37">
        <v>46358</v>
      </c>
      <c r="C338" s="12">
        <f t="shared" si="35"/>
        <v>2026</v>
      </c>
      <c r="D338" s="12">
        <f t="shared" si="36"/>
        <v>4</v>
      </c>
      <c r="E338" s="12">
        <f t="shared" si="37"/>
        <v>12</v>
      </c>
      <c r="F338" s="12" t="str">
        <f t="shared" si="38"/>
        <v>December</v>
      </c>
      <c r="G338" s="12">
        <f t="shared" si="39"/>
        <v>49</v>
      </c>
      <c r="H338" s="12" t="str">
        <f t="shared" si="40"/>
        <v>Wednesday</v>
      </c>
      <c r="I338" s="39" t="str">
        <f t="shared" si="41"/>
        <v>N</v>
      </c>
    </row>
    <row r="339" spans="2:9" x14ac:dyDescent="0.35">
      <c r="B339" s="36">
        <v>46359</v>
      </c>
      <c r="C339" s="11">
        <f t="shared" si="35"/>
        <v>2026</v>
      </c>
      <c r="D339" s="11">
        <f t="shared" si="36"/>
        <v>4</v>
      </c>
      <c r="E339" s="11">
        <f t="shared" si="37"/>
        <v>12</v>
      </c>
      <c r="F339" s="11" t="str">
        <f t="shared" si="38"/>
        <v>December</v>
      </c>
      <c r="G339" s="11">
        <f t="shared" si="39"/>
        <v>49</v>
      </c>
      <c r="H339" s="11" t="str">
        <f t="shared" si="40"/>
        <v>Thursday</v>
      </c>
      <c r="I339" s="38" t="str">
        <f t="shared" si="41"/>
        <v>N</v>
      </c>
    </row>
    <row r="340" spans="2:9" x14ac:dyDescent="0.35">
      <c r="B340" s="37">
        <v>46360</v>
      </c>
      <c r="C340" s="12">
        <f t="shared" si="35"/>
        <v>2026</v>
      </c>
      <c r="D340" s="12">
        <f t="shared" si="36"/>
        <v>4</v>
      </c>
      <c r="E340" s="12">
        <f t="shared" si="37"/>
        <v>12</v>
      </c>
      <c r="F340" s="12" t="str">
        <f t="shared" si="38"/>
        <v>December</v>
      </c>
      <c r="G340" s="12">
        <f t="shared" si="39"/>
        <v>49</v>
      </c>
      <c r="H340" s="12" t="str">
        <f t="shared" si="40"/>
        <v>Friday</v>
      </c>
      <c r="I340" s="39" t="str">
        <f t="shared" si="41"/>
        <v>Y</v>
      </c>
    </row>
    <row r="341" spans="2:9" x14ac:dyDescent="0.35">
      <c r="B341" s="36">
        <v>46361</v>
      </c>
      <c r="C341" s="11">
        <f t="shared" si="35"/>
        <v>2026</v>
      </c>
      <c r="D341" s="11">
        <f t="shared" si="36"/>
        <v>4</v>
      </c>
      <c r="E341" s="11">
        <f t="shared" si="37"/>
        <v>12</v>
      </c>
      <c r="F341" s="11" t="str">
        <f t="shared" si="38"/>
        <v>December</v>
      </c>
      <c r="G341" s="11">
        <f t="shared" si="39"/>
        <v>49</v>
      </c>
      <c r="H341" s="11" t="str">
        <f t="shared" si="40"/>
        <v>Saturday</v>
      </c>
      <c r="I341" s="38" t="str">
        <f t="shared" si="41"/>
        <v>Y</v>
      </c>
    </row>
    <row r="342" spans="2:9" x14ac:dyDescent="0.35">
      <c r="B342" s="37">
        <v>46362</v>
      </c>
      <c r="C342" s="12">
        <f t="shared" si="35"/>
        <v>2026</v>
      </c>
      <c r="D342" s="12">
        <f t="shared" si="36"/>
        <v>4</v>
      </c>
      <c r="E342" s="12">
        <f t="shared" si="37"/>
        <v>12</v>
      </c>
      <c r="F342" s="12" t="str">
        <f t="shared" si="38"/>
        <v>December</v>
      </c>
      <c r="G342" s="12">
        <f t="shared" si="39"/>
        <v>50</v>
      </c>
      <c r="H342" s="12" t="str">
        <f t="shared" si="40"/>
        <v>Sunday</v>
      </c>
      <c r="I342" s="39" t="str">
        <f t="shared" si="41"/>
        <v>N</v>
      </c>
    </row>
    <row r="343" spans="2:9" x14ac:dyDescent="0.35">
      <c r="B343" s="36">
        <v>46363</v>
      </c>
      <c r="C343" s="11">
        <f t="shared" si="35"/>
        <v>2026</v>
      </c>
      <c r="D343" s="11">
        <f t="shared" si="36"/>
        <v>4</v>
      </c>
      <c r="E343" s="11">
        <f t="shared" si="37"/>
        <v>12</v>
      </c>
      <c r="F343" s="11" t="str">
        <f t="shared" si="38"/>
        <v>December</v>
      </c>
      <c r="G343" s="11">
        <f t="shared" si="39"/>
        <v>50</v>
      </c>
      <c r="H343" s="11" t="str">
        <f t="shared" si="40"/>
        <v>Monday</v>
      </c>
      <c r="I343" s="38" t="str">
        <f t="shared" si="41"/>
        <v>N</v>
      </c>
    </row>
    <row r="344" spans="2:9" x14ac:dyDescent="0.35">
      <c r="B344" s="37">
        <v>46364</v>
      </c>
      <c r="C344" s="12">
        <f t="shared" si="35"/>
        <v>2026</v>
      </c>
      <c r="D344" s="12">
        <f t="shared" si="36"/>
        <v>4</v>
      </c>
      <c r="E344" s="12">
        <f t="shared" si="37"/>
        <v>12</v>
      </c>
      <c r="F344" s="12" t="str">
        <f t="shared" si="38"/>
        <v>December</v>
      </c>
      <c r="G344" s="12">
        <f t="shared" si="39"/>
        <v>50</v>
      </c>
      <c r="H344" s="12" t="str">
        <f t="shared" si="40"/>
        <v>Tuesday</v>
      </c>
      <c r="I344" s="39" t="str">
        <f t="shared" si="41"/>
        <v>N</v>
      </c>
    </row>
    <row r="345" spans="2:9" x14ac:dyDescent="0.35">
      <c r="B345" s="36">
        <v>46365</v>
      </c>
      <c r="C345" s="11">
        <f t="shared" si="35"/>
        <v>2026</v>
      </c>
      <c r="D345" s="11">
        <f t="shared" si="36"/>
        <v>4</v>
      </c>
      <c r="E345" s="11">
        <f t="shared" si="37"/>
        <v>12</v>
      </c>
      <c r="F345" s="11" t="str">
        <f t="shared" si="38"/>
        <v>December</v>
      </c>
      <c r="G345" s="11">
        <f t="shared" si="39"/>
        <v>50</v>
      </c>
      <c r="H345" s="11" t="str">
        <f t="shared" si="40"/>
        <v>Wednesday</v>
      </c>
      <c r="I345" s="38" t="str">
        <f t="shared" si="41"/>
        <v>N</v>
      </c>
    </row>
    <row r="346" spans="2:9" x14ac:dyDescent="0.35">
      <c r="B346" s="37">
        <v>46366</v>
      </c>
      <c r="C346" s="12">
        <f t="shared" si="35"/>
        <v>2026</v>
      </c>
      <c r="D346" s="12">
        <f t="shared" si="36"/>
        <v>4</v>
      </c>
      <c r="E346" s="12">
        <f t="shared" si="37"/>
        <v>12</v>
      </c>
      <c r="F346" s="12" t="str">
        <f t="shared" si="38"/>
        <v>December</v>
      </c>
      <c r="G346" s="12">
        <f t="shared" si="39"/>
        <v>50</v>
      </c>
      <c r="H346" s="12" t="str">
        <f t="shared" si="40"/>
        <v>Thursday</v>
      </c>
      <c r="I346" s="39" t="str">
        <f t="shared" si="41"/>
        <v>N</v>
      </c>
    </row>
    <row r="347" spans="2:9" x14ac:dyDescent="0.35">
      <c r="B347" s="36">
        <v>46367</v>
      </c>
      <c r="C347" s="11">
        <f t="shared" si="35"/>
        <v>2026</v>
      </c>
      <c r="D347" s="11">
        <f t="shared" si="36"/>
        <v>4</v>
      </c>
      <c r="E347" s="11">
        <f t="shared" si="37"/>
        <v>12</v>
      </c>
      <c r="F347" s="11" t="str">
        <f t="shared" si="38"/>
        <v>December</v>
      </c>
      <c r="G347" s="11">
        <f t="shared" si="39"/>
        <v>50</v>
      </c>
      <c r="H347" s="11" t="str">
        <f t="shared" si="40"/>
        <v>Friday</v>
      </c>
      <c r="I347" s="38" t="str">
        <f t="shared" si="41"/>
        <v>Y</v>
      </c>
    </row>
    <row r="348" spans="2:9" x14ac:dyDescent="0.35">
      <c r="B348" s="37">
        <v>46368</v>
      </c>
      <c r="C348" s="12">
        <f t="shared" si="35"/>
        <v>2026</v>
      </c>
      <c r="D348" s="12">
        <f t="shared" si="36"/>
        <v>4</v>
      </c>
      <c r="E348" s="12">
        <f t="shared" si="37"/>
        <v>12</v>
      </c>
      <c r="F348" s="12" t="str">
        <f t="shared" si="38"/>
        <v>December</v>
      </c>
      <c r="G348" s="12">
        <f t="shared" si="39"/>
        <v>50</v>
      </c>
      <c r="H348" s="12" t="str">
        <f t="shared" si="40"/>
        <v>Saturday</v>
      </c>
      <c r="I348" s="39" t="str">
        <f t="shared" si="41"/>
        <v>Y</v>
      </c>
    </row>
    <row r="349" spans="2:9" x14ac:dyDescent="0.35">
      <c r="B349" s="36">
        <v>46369</v>
      </c>
      <c r="C349" s="11">
        <f t="shared" si="35"/>
        <v>2026</v>
      </c>
      <c r="D349" s="11">
        <f t="shared" si="36"/>
        <v>4</v>
      </c>
      <c r="E349" s="11">
        <f t="shared" si="37"/>
        <v>12</v>
      </c>
      <c r="F349" s="11" t="str">
        <f t="shared" si="38"/>
        <v>December</v>
      </c>
      <c r="G349" s="11">
        <f t="shared" si="39"/>
        <v>51</v>
      </c>
      <c r="H349" s="11" t="str">
        <f t="shared" si="40"/>
        <v>Sunday</v>
      </c>
      <c r="I349" s="38" t="str">
        <f t="shared" si="41"/>
        <v>N</v>
      </c>
    </row>
    <row r="350" spans="2:9" x14ac:dyDescent="0.35">
      <c r="B350" s="37">
        <v>46370</v>
      </c>
      <c r="C350" s="12">
        <f t="shared" si="35"/>
        <v>2026</v>
      </c>
      <c r="D350" s="12">
        <f t="shared" si="36"/>
        <v>4</v>
      </c>
      <c r="E350" s="12">
        <f t="shared" si="37"/>
        <v>12</v>
      </c>
      <c r="F350" s="12" t="str">
        <f t="shared" si="38"/>
        <v>December</v>
      </c>
      <c r="G350" s="12">
        <f t="shared" si="39"/>
        <v>51</v>
      </c>
      <c r="H350" s="12" t="str">
        <f t="shared" si="40"/>
        <v>Monday</v>
      </c>
      <c r="I350" s="39" t="str">
        <f t="shared" si="41"/>
        <v>N</v>
      </c>
    </row>
    <row r="351" spans="2:9" x14ac:dyDescent="0.35">
      <c r="B351" s="36">
        <v>46371</v>
      </c>
      <c r="C351" s="11">
        <f t="shared" si="35"/>
        <v>2026</v>
      </c>
      <c r="D351" s="11">
        <f t="shared" si="36"/>
        <v>4</v>
      </c>
      <c r="E351" s="11">
        <f t="shared" si="37"/>
        <v>12</v>
      </c>
      <c r="F351" s="11" t="str">
        <f t="shared" si="38"/>
        <v>December</v>
      </c>
      <c r="G351" s="11">
        <f t="shared" si="39"/>
        <v>51</v>
      </c>
      <c r="H351" s="11" t="str">
        <f t="shared" si="40"/>
        <v>Tuesday</v>
      </c>
      <c r="I351" s="38" t="str">
        <f t="shared" si="41"/>
        <v>N</v>
      </c>
    </row>
    <row r="352" spans="2:9" x14ac:dyDescent="0.35">
      <c r="B352" s="37">
        <v>46372</v>
      </c>
      <c r="C352" s="12">
        <f t="shared" si="35"/>
        <v>2026</v>
      </c>
      <c r="D352" s="12">
        <f t="shared" si="36"/>
        <v>4</v>
      </c>
      <c r="E352" s="12">
        <f t="shared" si="37"/>
        <v>12</v>
      </c>
      <c r="F352" s="12" t="str">
        <f t="shared" si="38"/>
        <v>December</v>
      </c>
      <c r="G352" s="12">
        <f t="shared" si="39"/>
        <v>51</v>
      </c>
      <c r="H352" s="12" t="str">
        <f t="shared" si="40"/>
        <v>Wednesday</v>
      </c>
      <c r="I352" s="39" t="str">
        <f t="shared" si="41"/>
        <v>N</v>
      </c>
    </row>
    <row r="353" spans="2:9" x14ac:dyDescent="0.35">
      <c r="B353" s="36">
        <v>46373</v>
      </c>
      <c r="C353" s="11">
        <f t="shared" si="35"/>
        <v>2026</v>
      </c>
      <c r="D353" s="11">
        <f t="shared" si="36"/>
        <v>4</v>
      </c>
      <c r="E353" s="11">
        <f t="shared" si="37"/>
        <v>12</v>
      </c>
      <c r="F353" s="11" t="str">
        <f t="shared" si="38"/>
        <v>December</v>
      </c>
      <c r="G353" s="11">
        <f t="shared" si="39"/>
        <v>51</v>
      </c>
      <c r="H353" s="11" t="str">
        <f t="shared" si="40"/>
        <v>Thursday</v>
      </c>
      <c r="I353" s="38" t="str">
        <f t="shared" si="41"/>
        <v>N</v>
      </c>
    </row>
    <row r="354" spans="2:9" x14ac:dyDescent="0.35">
      <c r="B354" s="37">
        <v>46374</v>
      </c>
      <c r="C354" s="12">
        <f t="shared" si="35"/>
        <v>2026</v>
      </c>
      <c r="D354" s="12">
        <f t="shared" si="36"/>
        <v>4</v>
      </c>
      <c r="E354" s="12">
        <f t="shared" si="37"/>
        <v>12</v>
      </c>
      <c r="F354" s="12" t="str">
        <f t="shared" si="38"/>
        <v>December</v>
      </c>
      <c r="G354" s="12">
        <f t="shared" si="39"/>
        <v>51</v>
      </c>
      <c r="H354" s="12" t="str">
        <f t="shared" si="40"/>
        <v>Friday</v>
      </c>
      <c r="I354" s="39" t="str">
        <f t="shared" si="41"/>
        <v>Y</v>
      </c>
    </row>
    <row r="355" spans="2:9" x14ac:dyDescent="0.35">
      <c r="B355" s="36">
        <v>46375</v>
      </c>
      <c r="C355" s="11">
        <f t="shared" si="35"/>
        <v>2026</v>
      </c>
      <c r="D355" s="11">
        <f t="shared" si="36"/>
        <v>4</v>
      </c>
      <c r="E355" s="11">
        <f t="shared" si="37"/>
        <v>12</v>
      </c>
      <c r="F355" s="11" t="str">
        <f t="shared" si="38"/>
        <v>December</v>
      </c>
      <c r="G355" s="11">
        <f t="shared" si="39"/>
        <v>51</v>
      </c>
      <c r="H355" s="11" t="str">
        <f t="shared" si="40"/>
        <v>Saturday</v>
      </c>
      <c r="I355" s="38" t="str">
        <f t="shared" si="41"/>
        <v>Y</v>
      </c>
    </row>
    <row r="356" spans="2:9" x14ac:dyDescent="0.35">
      <c r="B356" s="37">
        <v>46376</v>
      </c>
      <c r="C356" s="12">
        <f t="shared" si="35"/>
        <v>2026</v>
      </c>
      <c r="D356" s="12">
        <f t="shared" si="36"/>
        <v>4</v>
      </c>
      <c r="E356" s="12">
        <f t="shared" si="37"/>
        <v>12</v>
      </c>
      <c r="F356" s="12" t="str">
        <f t="shared" si="38"/>
        <v>December</v>
      </c>
      <c r="G356" s="12">
        <f t="shared" si="39"/>
        <v>52</v>
      </c>
      <c r="H356" s="12" t="str">
        <f t="shared" si="40"/>
        <v>Sunday</v>
      </c>
      <c r="I356" s="39" t="str">
        <f t="shared" si="41"/>
        <v>N</v>
      </c>
    </row>
    <row r="357" spans="2:9" x14ac:dyDescent="0.35">
      <c r="B357" s="36">
        <v>46377</v>
      </c>
      <c r="C357" s="11">
        <f t="shared" si="35"/>
        <v>2026</v>
      </c>
      <c r="D357" s="11">
        <f t="shared" si="36"/>
        <v>4</v>
      </c>
      <c r="E357" s="11">
        <f t="shared" si="37"/>
        <v>12</v>
      </c>
      <c r="F357" s="11" t="str">
        <f t="shared" si="38"/>
        <v>December</v>
      </c>
      <c r="G357" s="11">
        <f t="shared" si="39"/>
        <v>52</v>
      </c>
      <c r="H357" s="11" t="str">
        <f t="shared" si="40"/>
        <v>Monday</v>
      </c>
      <c r="I357" s="38" t="str">
        <f t="shared" si="41"/>
        <v>N</v>
      </c>
    </row>
    <row r="358" spans="2:9" x14ac:dyDescent="0.35">
      <c r="B358" s="37">
        <v>46378</v>
      </c>
      <c r="C358" s="12">
        <f t="shared" si="35"/>
        <v>2026</v>
      </c>
      <c r="D358" s="12">
        <f t="shared" si="36"/>
        <v>4</v>
      </c>
      <c r="E358" s="12">
        <f t="shared" si="37"/>
        <v>12</v>
      </c>
      <c r="F358" s="12" t="str">
        <f t="shared" si="38"/>
        <v>December</v>
      </c>
      <c r="G358" s="12">
        <f t="shared" si="39"/>
        <v>52</v>
      </c>
      <c r="H358" s="12" t="str">
        <f t="shared" si="40"/>
        <v>Tuesday</v>
      </c>
      <c r="I358" s="39" t="str">
        <f t="shared" si="41"/>
        <v>N</v>
      </c>
    </row>
    <row r="359" spans="2:9" x14ac:dyDescent="0.35">
      <c r="B359" s="36">
        <v>46379</v>
      </c>
      <c r="C359" s="11">
        <f t="shared" si="35"/>
        <v>2026</v>
      </c>
      <c r="D359" s="11">
        <f t="shared" si="36"/>
        <v>4</v>
      </c>
      <c r="E359" s="11">
        <f t="shared" si="37"/>
        <v>12</v>
      </c>
      <c r="F359" s="11" t="str">
        <f t="shared" si="38"/>
        <v>December</v>
      </c>
      <c r="G359" s="11">
        <f t="shared" si="39"/>
        <v>52</v>
      </c>
      <c r="H359" s="11" t="str">
        <f t="shared" si="40"/>
        <v>Wednesday</v>
      </c>
      <c r="I359" s="38" t="str">
        <f t="shared" si="41"/>
        <v>N</v>
      </c>
    </row>
    <row r="360" spans="2:9" x14ac:dyDescent="0.35">
      <c r="B360" s="37">
        <v>46380</v>
      </c>
      <c r="C360" s="12">
        <f t="shared" si="35"/>
        <v>2026</v>
      </c>
      <c r="D360" s="12">
        <f t="shared" si="36"/>
        <v>4</v>
      </c>
      <c r="E360" s="12">
        <f t="shared" si="37"/>
        <v>12</v>
      </c>
      <c r="F360" s="12" t="str">
        <f t="shared" si="38"/>
        <v>December</v>
      </c>
      <c r="G360" s="12">
        <f t="shared" si="39"/>
        <v>52</v>
      </c>
      <c r="H360" s="12" t="str">
        <f t="shared" si="40"/>
        <v>Thursday</v>
      </c>
      <c r="I360" s="39" t="str">
        <f t="shared" si="41"/>
        <v>N</v>
      </c>
    </row>
    <row r="361" spans="2:9" x14ac:dyDescent="0.35">
      <c r="B361" s="36">
        <v>46381</v>
      </c>
      <c r="C361" s="11">
        <f t="shared" si="35"/>
        <v>2026</v>
      </c>
      <c r="D361" s="11">
        <f t="shared" si="36"/>
        <v>4</v>
      </c>
      <c r="E361" s="11">
        <f t="shared" si="37"/>
        <v>12</v>
      </c>
      <c r="F361" s="11" t="str">
        <f t="shared" si="38"/>
        <v>December</v>
      </c>
      <c r="G361" s="11">
        <f t="shared" si="39"/>
        <v>52</v>
      </c>
      <c r="H361" s="11" t="str">
        <f t="shared" si="40"/>
        <v>Friday</v>
      </c>
      <c r="I361" s="38" t="str">
        <f t="shared" si="41"/>
        <v>Y</v>
      </c>
    </row>
    <row r="362" spans="2:9" x14ac:dyDescent="0.35">
      <c r="B362" s="37">
        <v>46382</v>
      </c>
      <c r="C362" s="12">
        <f t="shared" si="35"/>
        <v>2026</v>
      </c>
      <c r="D362" s="12">
        <f t="shared" si="36"/>
        <v>4</v>
      </c>
      <c r="E362" s="12">
        <f t="shared" si="37"/>
        <v>12</v>
      </c>
      <c r="F362" s="12" t="str">
        <f t="shared" si="38"/>
        <v>December</v>
      </c>
      <c r="G362" s="12">
        <f t="shared" si="39"/>
        <v>52</v>
      </c>
      <c r="H362" s="12" t="str">
        <f t="shared" si="40"/>
        <v>Saturday</v>
      </c>
      <c r="I362" s="39" t="str">
        <f t="shared" si="41"/>
        <v>Y</v>
      </c>
    </row>
    <row r="363" spans="2:9" x14ac:dyDescent="0.35">
      <c r="B363" s="36">
        <v>46383</v>
      </c>
      <c r="C363" s="11">
        <f t="shared" si="35"/>
        <v>2026</v>
      </c>
      <c r="D363" s="11">
        <f t="shared" si="36"/>
        <v>4</v>
      </c>
      <c r="E363" s="11">
        <f t="shared" si="37"/>
        <v>12</v>
      </c>
      <c r="F363" s="11" t="str">
        <f t="shared" si="38"/>
        <v>December</v>
      </c>
      <c r="G363" s="11">
        <f t="shared" si="39"/>
        <v>53</v>
      </c>
      <c r="H363" s="11" t="str">
        <f t="shared" si="40"/>
        <v>Sunday</v>
      </c>
      <c r="I363" s="38" t="str">
        <f t="shared" si="41"/>
        <v>N</v>
      </c>
    </row>
    <row r="364" spans="2:9" x14ac:dyDescent="0.35">
      <c r="B364" s="37">
        <v>46384</v>
      </c>
      <c r="C364" s="12">
        <f t="shared" si="35"/>
        <v>2026</v>
      </c>
      <c r="D364" s="12">
        <f t="shared" si="36"/>
        <v>4</v>
      </c>
      <c r="E364" s="12">
        <f t="shared" si="37"/>
        <v>12</v>
      </c>
      <c r="F364" s="12" t="str">
        <f t="shared" si="38"/>
        <v>December</v>
      </c>
      <c r="G364" s="12">
        <f t="shared" si="39"/>
        <v>53</v>
      </c>
      <c r="H364" s="12" t="str">
        <f t="shared" si="40"/>
        <v>Monday</v>
      </c>
      <c r="I364" s="39" t="str">
        <f t="shared" si="41"/>
        <v>N</v>
      </c>
    </row>
    <row r="365" spans="2:9" x14ac:dyDescent="0.35">
      <c r="B365" s="36">
        <v>46385</v>
      </c>
      <c r="C365" s="11">
        <f t="shared" si="35"/>
        <v>2026</v>
      </c>
      <c r="D365" s="11">
        <f t="shared" si="36"/>
        <v>4</v>
      </c>
      <c r="E365" s="11">
        <f t="shared" si="37"/>
        <v>12</v>
      </c>
      <c r="F365" s="11" t="str">
        <f t="shared" si="38"/>
        <v>December</v>
      </c>
      <c r="G365" s="11">
        <f t="shared" si="39"/>
        <v>53</v>
      </c>
      <c r="H365" s="11" t="str">
        <f t="shared" si="40"/>
        <v>Tuesday</v>
      </c>
      <c r="I365" s="38" t="str">
        <f t="shared" si="41"/>
        <v>N</v>
      </c>
    </row>
    <row r="366" spans="2:9" x14ac:dyDescent="0.35">
      <c r="B366" s="37">
        <v>46386</v>
      </c>
      <c r="C366" s="12">
        <f t="shared" si="35"/>
        <v>2026</v>
      </c>
      <c r="D366" s="12">
        <f t="shared" si="36"/>
        <v>4</v>
      </c>
      <c r="E366" s="12">
        <f t="shared" si="37"/>
        <v>12</v>
      </c>
      <c r="F366" s="12" t="str">
        <f t="shared" si="38"/>
        <v>December</v>
      </c>
      <c r="G366" s="12">
        <f t="shared" si="39"/>
        <v>53</v>
      </c>
      <c r="H366" s="12" t="str">
        <f t="shared" si="40"/>
        <v>Wednesday</v>
      </c>
      <c r="I366" s="39" t="str">
        <f t="shared" si="41"/>
        <v>N</v>
      </c>
    </row>
    <row r="367" spans="2:9" x14ac:dyDescent="0.35">
      <c r="B367" s="40">
        <v>46387</v>
      </c>
      <c r="C367" s="41">
        <f t="shared" si="35"/>
        <v>2026</v>
      </c>
      <c r="D367" s="41">
        <f t="shared" si="36"/>
        <v>4</v>
      </c>
      <c r="E367" s="41">
        <f t="shared" si="37"/>
        <v>12</v>
      </c>
      <c r="F367" s="41" t="str">
        <f t="shared" si="38"/>
        <v>December</v>
      </c>
      <c r="G367" s="41">
        <f t="shared" si="39"/>
        <v>53</v>
      </c>
      <c r="H367" s="41" t="str">
        <f t="shared" si="40"/>
        <v>Thursday</v>
      </c>
      <c r="I367" s="42" t="str">
        <f t="shared" si="41"/>
        <v>N</v>
      </c>
    </row>
    <row r="369" spans="2:9" x14ac:dyDescent="0.35">
      <c r="B369" s="13" t="s">
        <v>150</v>
      </c>
      <c r="C369" s="13"/>
      <c r="D369" s="13"/>
      <c r="E369" s="13"/>
      <c r="F369" s="13"/>
      <c r="G369" s="13"/>
      <c r="H369" s="13"/>
      <c r="I369" s="13"/>
    </row>
  </sheetData>
  <mergeCells count="1">
    <mergeCell ref="B369:I36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Dim_Vendor</vt:lpstr>
      <vt:lpstr>PO_Fact</vt:lpstr>
      <vt:lpstr>Dim_Item</vt:lpstr>
      <vt:lpstr>Dim_Department</vt:lpstr>
      <vt:lpstr>Dim_Calendar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t71434</cp:lastModifiedBy>
  <cp:revision>0</cp:revision>
  <dcterms:created xsi:type="dcterms:W3CDTF">2026-07-14T05:34:05Z</dcterms:created>
  <dcterms:modified xsi:type="dcterms:W3CDTF">2026-08-20T17:15:48Z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2026-07-14T11:34:40Z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59c38470-a71c-447b-86cd-e532c5a636ec</vt:lpwstr>
  </property>
  <property fmtid="{D5CDD505-2E9C-101B-9397-08002B2CF9AE}" pid="7" name="MSIP_Label_defa4170-0d19-0005-0004-bc88714345d2_ActionId">
    <vt:lpwstr>4e59b4cb-a98d-4647-bc1a-a46771a53977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